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Moisexo\Downloads\evaluacion de proyectp\2.5.3. Plantillas Excel para actividad\"/>
    </mc:Choice>
  </mc:AlternateContent>
  <xr:revisionPtr revIDLastSave="0" documentId="13_ncr:1_{3EE3FDA2-1D8A-4007-9D44-266BCC166C53}" xr6:coauthVersionLast="47" xr6:coauthVersionMax="47" xr10:uidLastSave="{00000000-0000-0000-0000-000000000000}"/>
  <bookViews>
    <workbookView xWindow="-120" yWindow="-120" windowWidth="29040" windowHeight="15840" xr2:uid="{00000000-000D-0000-FFFF-FFFF00000000}"/>
  </bookViews>
  <sheets>
    <sheet name="Flujo de caja" sheetId="1" r:id="rId1"/>
    <sheet name="Gasto RH" sheetId="2" r:id="rId2"/>
    <sheet name="Gasto operacional" sheetId="3" r:id="rId3"/>
    <sheet name="Ejemplo tablas de amortizacion" sheetId="4" r:id="rId4"/>
    <sheet name="Justificac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1" l="1"/>
  <c r="Q13" i="1"/>
  <c r="Q12" i="1"/>
  <c r="Q11" i="1"/>
  <c r="Q7" i="1"/>
  <c r="Q6" i="1"/>
  <c r="O9" i="1"/>
  <c r="M22" i="1"/>
  <c r="C22" i="1"/>
  <c r="C12" i="1"/>
  <c r="D12" i="1"/>
  <c r="H6" i="4"/>
  <c r="E3" i="4"/>
  <c r="C4" i="4" s="1"/>
  <c r="E6" i="3"/>
  <c r="E5" i="3"/>
  <c r="B9" i="3" s="1"/>
  <c r="E4" i="3"/>
  <c r="E3" i="3"/>
  <c r="D19" i="2"/>
  <c r="C19" i="2"/>
  <c r="C18" i="2"/>
  <c r="E18" i="2" s="1"/>
  <c r="C17" i="2"/>
  <c r="E17" i="2" s="1"/>
  <c r="E16" i="2"/>
  <c r="A24" i="2" s="1"/>
  <c r="C16" i="2"/>
  <c r="C15" i="2"/>
  <c r="E15" i="2" s="1"/>
  <c r="C14" i="2"/>
  <c r="B14" i="2"/>
  <c r="B19" i="2" s="1"/>
  <c r="E8" i="2"/>
  <c r="F8" i="2" s="1"/>
  <c r="B8" i="2"/>
  <c r="E7" i="2"/>
  <c r="F7" i="2" s="1"/>
  <c r="E6" i="2"/>
  <c r="F6" i="2" s="1"/>
  <c r="F5" i="2"/>
  <c r="E5" i="2"/>
  <c r="E4" i="2"/>
  <c r="F4" i="2" s="1"/>
  <c r="E3" i="2"/>
  <c r="F3" i="2" s="1"/>
  <c r="N30" i="1"/>
  <c r="M30" i="1"/>
  <c r="L30" i="1"/>
  <c r="K30" i="1"/>
  <c r="J30" i="1"/>
  <c r="I30" i="1"/>
  <c r="H30" i="1"/>
  <c r="G30" i="1"/>
  <c r="F30" i="1"/>
  <c r="E30" i="1"/>
  <c r="D30" i="1"/>
  <c r="C30" i="1"/>
  <c r="O29" i="1"/>
  <c r="O28" i="1"/>
  <c r="N22" i="1"/>
  <c r="L22" i="1"/>
  <c r="K22" i="1"/>
  <c r="J22" i="1"/>
  <c r="I22" i="1"/>
  <c r="H22" i="1"/>
  <c r="G22" i="1"/>
  <c r="F22" i="1"/>
  <c r="E22" i="1"/>
  <c r="D22" i="1"/>
  <c r="O21" i="1"/>
  <c r="O20" i="1"/>
  <c r="O18" i="1"/>
  <c r="O17" i="1"/>
  <c r="O16" i="1"/>
  <c r="O15" i="1"/>
  <c r="N12" i="1"/>
  <c r="M12" i="1"/>
  <c r="L12" i="1"/>
  <c r="K12" i="1"/>
  <c r="J12" i="1"/>
  <c r="I12" i="1"/>
  <c r="H12" i="1"/>
  <c r="G12" i="1"/>
  <c r="F12" i="1"/>
  <c r="E12" i="1"/>
  <c r="O11" i="1"/>
  <c r="O10" i="1"/>
  <c r="Q10" i="1" s="1"/>
  <c r="Q8" i="1" l="1"/>
  <c r="Q15" i="1" s="1"/>
  <c r="Q14" i="1"/>
  <c r="Q9" i="1"/>
  <c r="H32" i="1"/>
  <c r="E32" i="1"/>
  <c r="H24" i="1"/>
  <c r="F32" i="1"/>
  <c r="D32" i="1"/>
  <c r="G24" i="1"/>
  <c r="C34" i="1"/>
  <c r="K32" i="1"/>
  <c r="I24" i="1"/>
  <c r="J32" i="1"/>
  <c r="I32" i="1"/>
  <c r="D24" i="1"/>
  <c r="F24" i="1"/>
  <c r="K24" i="1"/>
  <c r="E24" i="1"/>
  <c r="G32" i="1"/>
  <c r="J24" i="1"/>
  <c r="C24" i="1"/>
  <c r="C25" i="1" s="1"/>
  <c r="C32" i="1"/>
  <c r="O30" i="1"/>
  <c r="B8" i="4"/>
  <c r="B4" i="4"/>
  <c r="D4" i="4" s="1"/>
  <c r="E4" i="4" s="1"/>
  <c r="B5" i="4"/>
  <c r="N32" i="1"/>
  <c r="M32" i="1"/>
  <c r="L32" i="1"/>
  <c r="O12" i="1"/>
  <c r="F15" i="2"/>
  <c r="H15" i="2" s="1"/>
  <c r="A23" i="2"/>
  <c r="A25" i="2"/>
  <c r="F17" i="2"/>
  <c r="H17" i="2" s="1"/>
  <c r="A26" i="2"/>
  <c r="F18" i="2"/>
  <c r="H18" i="2" s="1"/>
  <c r="E14" i="2"/>
  <c r="B6" i="4"/>
  <c r="O22" i="1"/>
  <c r="B9" i="4"/>
  <c r="F16" i="2"/>
  <c r="H16" i="2" s="1"/>
  <c r="B7" i="4"/>
  <c r="D25" i="1" l="1"/>
  <c r="E25" i="1" s="1"/>
  <c r="F25" i="1" s="1"/>
  <c r="G25" i="1" s="1"/>
  <c r="H25" i="1" s="1"/>
  <c r="I25" i="1" s="1"/>
  <c r="O25" i="1"/>
  <c r="C35" i="1"/>
  <c r="C33" i="1"/>
  <c r="D33" i="1" s="1"/>
  <c r="E33" i="1" s="1"/>
  <c r="D5" i="1"/>
  <c r="E5" i="1" s="1"/>
  <c r="M5" i="1"/>
  <c r="M24" i="1" s="1"/>
  <c r="N5" i="1" s="1"/>
  <c r="N24" i="1" s="1"/>
  <c r="B14" i="4"/>
  <c r="C5" i="4"/>
  <c r="E19" i="2"/>
  <c r="A22" i="2"/>
  <c r="F14" i="2"/>
  <c r="C36" i="1" l="1"/>
  <c r="J25" i="1"/>
  <c r="F5" i="1"/>
  <c r="F33" i="1"/>
  <c r="G33" i="1" s="1"/>
  <c r="H33" i="1" s="1"/>
  <c r="I33" i="1" s="1"/>
  <c r="J33" i="1" s="1"/>
  <c r="K33" i="1" s="1"/>
  <c r="A30" i="2"/>
  <c r="A29" i="2"/>
  <c r="A28" i="2"/>
  <c r="A27" i="2"/>
  <c r="D5" i="4"/>
  <c r="F19" i="2"/>
  <c r="H14" i="2"/>
  <c r="H19" i="2" s="1"/>
  <c r="C37" i="1" l="1"/>
  <c r="K25" i="1"/>
  <c r="G5" i="1"/>
  <c r="E5" i="4"/>
  <c r="C6" i="4" l="1"/>
  <c r="H5" i="1" l="1"/>
  <c r="D6" i="4"/>
  <c r="E6" i="4" l="1"/>
  <c r="I5" i="1" l="1"/>
  <c r="L24" i="1"/>
  <c r="C7" i="4"/>
  <c r="D7" i="4" l="1"/>
  <c r="J5" i="1" l="1"/>
  <c r="E7" i="4"/>
  <c r="K5" i="1" l="1"/>
  <c r="C8" i="4"/>
  <c r="D8" i="4" s="1"/>
  <c r="E8" i="4" s="1"/>
  <c r="C9" i="4" l="1"/>
  <c r="D9" i="4" s="1"/>
  <c r="E9" i="4" s="1"/>
  <c r="C10" i="4" l="1"/>
  <c r="D10" i="4" s="1"/>
  <c r="E10" i="4" s="1"/>
  <c r="C11" i="4" l="1"/>
  <c r="D11" i="4" s="1"/>
  <c r="E11" i="4" s="1"/>
  <c r="C12" i="4" l="1"/>
  <c r="D12" i="4" s="1"/>
  <c r="E12" i="4" s="1"/>
  <c r="C13" i="4" l="1"/>
  <c r="D13" i="4" l="1"/>
  <c r="C14" i="4"/>
  <c r="D14" i="4" l="1"/>
  <c r="E13" i="4"/>
</calcChain>
</file>

<file path=xl/sharedStrings.xml><?xml version="1.0" encoding="utf-8"?>
<sst xmlns="http://schemas.openxmlformats.org/spreadsheetml/2006/main" count="155" uniqueCount="119">
  <si>
    <t>Flujo de caja</t>
  </si>
  <si>
    <t>x</t>
  </si>
  <si>
    <t>ENE</t>
  </si>
  <si>
    <t>FEB</t>
  </si>
  <si>
    <t>MAR</t>
  </si>
  <si>
    <t>ABR</t>
  </si>
  <si>
    <t>MAY</t>
  </si>
  <si>
    <t>JUN</t>
  </si>
  <si>
    <t>JUL</t>
  </si>
  <si>
    <t>AGO</t>
  </si>
  <si>
    <t>SEP</t>
  </si>
  <si>
    <t>OCT</t>
  </si>
  <si>
    <t>NOV</t>
  </si>
  <si>
    <t>DIC</t>
  </si>
  <si>
    <t>Total</t>
  </si>
  <si>
    <t>Saldo inicial</t>
  </si>
  <si>
    <t>Ingresos</t>
  </si>
  <si>
    <t>Cofundador</t>
  </si>
  <si>
    <t>Pago de Innovatech</t>
  </si>
  <si>
    <t>Total Ingresos</t>
  </si>
  <si>
    <t>Egresos</t>
  </si>
  <si>
    <t>Pago de nómina y seguro social</t>
  </si>
  <si>
    <t>Pago Operacional</t>
  </si>
  <si>
    <t>Pago Internet/VPN</t>
  </si>
  <si>
    <t>Pago Arriendo</t>
  </si>
  <si>
    <t>Pago Basicos</t>
  </si>
  <si>
    <t>Pago de mantenimiento</t>
  </si>
  <si>
    <t>Total Egresos</t>
  </si>
  <si>
    <t>Flujo de caja económico</t>
  </si>
  <si>
    <t>Financiamiento</t>
  </si>
  <si>
    <t>Préstamo recibido</t>
  </si>
  <si>
    <t>Pago de préstamos</t>
  </si>
  <si>
    <t>Total Financiamiento</t>
  </si>
  <si>
    <t>Flujo de caja financiero</t>
  </si>
  <si>
    <t>van</t>
  </si>
  <si>
    <t>TIR</t>
  </si>
  <si>
    <t>ESTRUCTURA DE PERSONAL INTERNO Y COSTO MENSUAL</t>
  </si>
  <si>
    <t>Rol Profesional</t>
  </si>
  <si>
    <t>Cantidad</t>
  </si>
  <si>
    <t>Valor Hora (CLP)</t>
  </si>
  <si>
    <t>Horas/Mes</t>
  </si>
  <si>
    <t>Sueldo Base</t>
  </si>
  <si>
    <t>Costo Total Mensual</t>
  </si>
  <si>
    <t>Jefe de Proyecto / Arquitecto Cloud (Integrantes del grupo)</t>
  </si>
  <si>
    <t>Desarrollador Fullstack / Backend (Personal Interno)</t>
  </si>
  <si>
    <t>Auditores de seguridad y cumplimiento legal (Personal Externo)</t>
  </si>
  <si>
    <t>Analista QA / Testing Técnico  (Personal Interno)</t>
  </si>
  <si>
    <t>Soporte Técnico / Operaciones AWS  (Personal Interno)</t>
  </si>
  <si>
    <t>TOTAL MENSUAL PERSONAL INTERNO</t>
  </si>
  <si>
    <t>Rol Profecional</t>
  </si>
  <si>
    <t>Valor Hora</t>
  </si>
  <si>
    <t>Hora/Mes</t>
  </si>
  <si>
    <t>Suedo Base</t>
  </si>
  <si>
    <t>Sueldo mensual</t>
  </si>
  <si>
    <t>Meses Trabajados</t>
  </si>
  <si>
    <t>Gasto Anual por Sueldo</t>
  </si>
  <si>
    <t xml:space="preserve">                    </t>
  </si>
  <si>
    <t>jefe proyecto</t>
  </si>
  <si>
    <t>desarrollador full</t>
  </si>
  <si>
    <t>auditores</t>
  </si>
  <si>
    <t>qa</t>
  </si>
  <si>
    <t>soporte</t>
  </si>
  <si>
    <t>jefe + fullstack</t>
  </si>
  <si>
    <t>jefe+fullstack+auditores</t>
  </si>
  <si>
    <t>jefe+fullstack+soporte</t>
  </si>
  <si>
    <t>GASTO OPERACIONAL</t>
  </si>
  <si>
    <t>Variable / Parámetro</t>
  </si>
  <si>
    <t>Valor</t>
  </si>
  <si>
    <t>Unidad</t>
  </si>
  <si>
    <t>Meses de Uso</t>
  </si>
  <si>
    <t>Costo Total Anual</t>
  </si>
  <si>
    <t>Descripción Operativa</t>
  </si>
  <si>
    <t>Publicidad Digital</t>
  </si>
  <si>
    <t>CLP</t>
  </si>
  <si>
    <t>Pauta digital enfocada en empresas e industrias que requieran la solución de software.</t>
  </si>
  <si>
    <t>Herramientas de Desarrollo y Software Local</t>
  </si>
  <si>
    <t>Licencias de software técnico, control de versiones (GitHub Teams) y entornos de desarrollo corporativos seguros.</t>
  </si>
  <si>
    <t>Gastos Legales y de Constitución</t>
  </si>
  <si>
    <t>Gastos notariales, firmas digitales avanzadas y asesorías legales locales para la formalización de contratos de exportación de servicios</t>
  </si>
  <si>
    <t>Suministros y Movilidad</t>
  </si>
  <si>
    <t>Artículos de oficina técnica, mensajería de documentación legal y transporte logístico para reuniones de coordinación del equipo</t>
  </si>
  <si>
    <t>TOTAL ANUAL</t>
  </si>
  <si>
    <t>Mes</t>
  </si>
  <si>
    <t>Valor en Planilla</t>
  </si>
  <si>
    <t>Cómo se compone este gasto</t>
  </si>
  <si>
    <t>Mes 1</t>
  </si>
  <si>
    <t>$160.000 CLP</t>
  </si>
  <si>
    <t>Software ($80k) + Legal ($55k) + Suministros ($25k)</t>
  </si>
  <si>
    <t>Mes 2</t>
  </si>
  <si>
    <t>$185.000 CLP</t>
  </si>
  <si>
    <t>Software ($80k) + Legal ($55k) + Suministros ($25k) + Extra de Renovación/Soporte Legal ($25k)</t>
  </si>
  <si>
    <t>Mes 3</t>
  </si>
  <si>
    <t>Mes 4</t>
  </si>
  <si>
    <t>Software ($80k) + Legal ($55k) + Suministros ($25k) + Gasto variable en licencias adicionales de testing ($25k)</t>
  </si>
  <si>
    <t>Mes 5</t>
  </si>
  <si>
    <t>Mes 6</t>
  </si>
  <si>
    <t>Software ($80k) + Legal ($55k) + Suministros ($25k) + Imprevistos logísticos del despliegue piloto ($25k)</t>
  </si>
  <si>
    <t>Mes 7</t>
  </si>
  <si>
    <t>Mes 8</t>
  </si>
  <si>
    <t>Software ($80k) + Legal ($55k) + Suministros ($25k) + Auditoría menor o revisión de KPIs ($25k)</t>
  </si>
  <si>
    <t>Mes 9</t>
  </si>
  <si>
    <t xml:space="preserve">Ejercicio 2 guía  con otra tasa de Interés </t>
  </si>
  <si>
    <t>Periodos</t>
  </si>
  <si>
    <t>Cuota</t>
  </si>
  <si>
    <t xml:space="preserve">interes </t>
  </si>
  <si>
    <t>amortización</t>
  </si>
  <si>
    <t>saldo prestamo</t>
  </si>
  <si>
    <t>PRESTAMO</t>
  </si>
  <si>
    <t>interes</t>
  </si>
  <si>
    <t>CUOTA</t>
  </si>
  <si>
    <t>Justificacion del proyecto Innovatech</t>
  </si>
  <si>
    <t>Flujo total financiero</t>
  </si>
  <si>
    <t>flujo de total economico</t>
  </si>
  <si>
    <t>La estructura de egresos del proyecto Innovatech se justifica integralmente por la necesidad de asegurar la viabilidad técnica, operativa y financiera del desarrollo tecnológico. La inversión principal se destina al capital humano, cubriendo un equipo multidisciplinario altamente especializado —incluyendo Arquitectos Cloud, Desarrolladores, especialistas QA y auditores de seguridad externa— vital para garantizar la calidad del software y la protección de datos , complementado por gastos operacionales, licencias en GitHub, redes VPN y costos de infraestructura física. Sin embargo, la necesidad imperativa de contraer el préstamo bancario de $80.000.000 queda demostrada por el descalce temporal crítico entre los flujos de ingresos y egresos del proyecto. Mientras que los costos operativos exigen salidas de caja constantes y fuertes desde el primer mes —acumulando un gasto total de $158.030.000 solo entre enero y abril—, el contrato con Innovatech distribuye sus pagos en hitos espaciados en el tiempo. Al iniciar el proyecto en enero, la recaudación inicial de $106.000.000 (proveniente del hito de apertura de Innovatech por $56.000.000 y el aporte del cofundador de $50.000.000) resultó matemáticamente insuficiente para sostener la operación acumulada antes de recibir el segundo gran pago en el mes de abril por $116.500.000. Sin la inyección de liquidez inmediata de los $80.000.000 del crédito en el mes de enero, la empresa habría enfrentado un déficit de caja crítico, imposibilitando el cumplimiento de las obligaciones contractuales, el pago de nóminas y el setup de la infraestructura en AWS. Por lo tanto, el financiamiento externo constituyó un apalancamiento estratégico obligatorio para absorber los costos de arranque, actuando como el puente financiero indispensable para mantener la continuidad operativa ininterrumpida hasta la maduración y estabilización de los ingresos proyectados</t>
  </si>
  <si>
    <t>PRI</t>
  </si>
  <si>
    <t>mes</t>
  </si>
  <si>
    <t>% pago</t>
  </si>
  <si>
    <t>TOTAL</t>
  </si>
  <si>
    <t>Muebles y Computadores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</si>
</sst>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2" formatCode="_ &quot;$&quot;* #,##0_ ;_ &quot;$&quot;* \-#,##0_ ;_ &quot;$&quot;* &quot;-&quot;_ ;_ @_ "/>
    <numFmt numFmtId="164" formatCode="\$#,##0"/>
    <numFmt numFmtId="165" formatCode="&quot;$&quot;#,##0.00;[Red]\-&quot;$&quot;#,##0.00"/>
    <numFmt numFmtId="166" formatCode="_-&quot;$&quot;* #,##0.00_-;\-&quot;$&quot;* #,##0.00_-;_-&quot;$&quot;* &quot;-&quot;??_-;_-@_-"/>
    <numFmt numFmtId="167" formatCode="_-&quot;$&quot;* #,##0_-;\-&quot;$&quot;* #,##0_-;_-&quot;$&quot;* &quot;-&quot;_-;_-@_-"/>
    <numFmt numFmtId="168" formatCode="_ &quot;$&quot;* #,##0.0_ ;_ &quot;$&quot;* \-#,##0.0_ ;_ &quot;$&quot;* &quot;-&quot;_ ;_ @_ "/>
  </numFmts>
  <fonts count="27" x14ac:knownFonts="1">
    <font>
      <sz val="11"/>
      <color theme="1"/>
      <name val="Calibri"/>
      <family val="2"/>
      <scheme val="minor"/>
    </font>
    <font>
      <sz val="11"/>
      <color theme="1"/>
      <name val="Franklin Gothic Medium"/>
      <family val="2"/>
    </font>
    <font>
      <sz val="16"/>
      <color theme="1"/>
      <name val="Franklin Gothic Medium"/>
      <family val="2"/>
    </font>
    <font>
      <sz val="28"/>
      <color theme="8" tint="-0.249977111117893"/>
      <name val="Franklin Gothic Demi Cond"/>
      <family val="2"/>
    </font>
    <font>
      <b/>
      <sz val="11"/>
      <color theme="1"/>
      <name val="Franklin Gothic Medium"/>
      <family val="2"/>
    </font>
    <font>
      <sz val="10"/>
      <color theme="1" tint="0.499984740745262"/>
      <name val="Franklin Gothic Medium"/>
      <family val="2"/>
    </font>
    <font>
      <sz val="10"/>
      <color theme="0" tint="-0.499984740745262"/>
      <name val="Franklin Gothic Medium"/>
      <family val="2"/>
    </font>
    <font>
      <sz val="11"/>
      <name val="Franklin Gothic Medium"/>
      <family val="2"/>
    </font>
    <font>
      <sz val="11"/>
      <name val="Calibri"/>
      <family val="2"/>
      <scheme val="minor"/>
    </font>
    <font>
      <sz val="11"/>
      <color theme="1"/>
      <name val="Calibri"/>
      <family val="2"/>
      <scheme val="minor"/>
    </font>
    <font>
      <sz val="11"/>
      <color theme="0"/>
      <name val="Calibri"/>
      <family val="2"/>
      <scheme val="minor"/>
    </font>
    <font>
      <b/>
      <sz val="13"/>
      <color rgb="FF1F497D"/>
      <name val="Arial"/>
    </font>
    <font>
      <b/>
      <sz val="10"/>
      <color rgb="FFFFFFFF"/>
      <name val="Arial"/>
    </font>
    <font>
      <sz val="10"/>
      <name val="Arial"/>
    </font>
    <font>
      <b/>
      <sz val="10"/>
      <name val="Arial"/>
    </font>
    <font>
      <b/>
      <sz val="10"/>
      <color theme="1"/>
      <name val="Arial"/>
      <family val="2"/>
    </font>
    <font>
      <sz val="10"/>
      <color theme="1"/>
      <name val="Arial"/>
      <family val="2"/>
    </font>
    <font>
      <sz val="11"/>
      <color theme="7" tint="0.79998168889431442"/>
      <name val="Calibri"/>
      <family val="2"/>
      <scheme val="minor"/>
    </font>
    <font>
      <b/>
      <sz val="13"/>
      <color rgb="FF1F497D"/>
      <name val="Arial"/>
      <family val="2"/>
    </font>
    <font>
      <b/>
      <sz val="10"/>
      <color rgb="FFFFFFFF"/>
      <name val="Arial"/>
      <family val="2"/>
    </font>
    <font>
      <b/>
      <sz val="12"/>
      <color theme="1"/>
      <name val="Calibri"/>
      <family val="2"/>
      <scheme val="minor"/>
    </font>
    <font>
      <sz val="12"/>
      <color theme="1"/>
      <name val="Calibri"/>
      <family val="2"/>
      <scheme val="minor"/>
    </font>
    <font>
      <b/>
      <sz val="16"/>
      <color theme="1"/>
      <name val="Calibri"/>
      <family val="2"/>
      <scheme val="minor"/>
    </font>
    <font>
      <sz val="10"/>
      <name val="Arial"/>
      <family val="2"/>
    </font>
    <font>
      <b/>
      <sz val="11"/>
      <color theme="1"/>
      <name val="Arial"/>
      <family val="2"/>
    </font>
    <font>
      <sz val="11"/>
      <color theme="1"/>
      <name val="Arial"/>
      <family val="2"/>
    </font>
    <font>
      <b/>
      <sz val="11"/>
      <color theme="1"/>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rgb="FFF6FAFC"/>
        <bgColor indexed="64"/>
      </patternFill>
    </fill>
    <fill>
      <patternFill patternType="solid">
        <fgColor theme="6" tint="0.59999389629810485"/>
        <bgColor indexed="64"/>
      </patternFill>
    </fill>
    <fill>
      <patternFill patternType="solid">
        <fgColor rgb="FF1F497D"/>
        <bgColor rgb="FF1F497D"/>
      </patternFill>
    </fill>
    <fill>
      <patternFill patternType="solid">
        <fgColor theme="0"/>
        <bgColor rgb="FF1F497D"/>
      </patternFill>
    </fill>
    <fill>
      <patternFill patternType="solid">
        <fgColor theme="0"/>
        <bgColor indexed="64"/>
      </patternFill>
    </fill>
    <fill>
      <patternFill patternType="solid">
        <fgColor theme="0"/>
        <bgColor rgb="FFF2F5F8"/>
      </patternFill>
    </fill>
    <fill>
      <patternFill patternType="solid">
        <fgColor theme="0"/>
        <bgColor rgb="FFDCE6F1"/>
      </patternFill>
    </fill>
    <fill>
      <patternFill patternType="solid">
        <fgColor theme="3"/>
        <bgColor indexed="64"/>
      </patternFill>
    </fill>
    <fill>
      <patternFill patternType="solid">
        <fgColor theme="8" tint="0.79998168889431442"/>
        <bgColor rgb="FFF2F5F8"/>
      </patternFill>
    </fill>
    <fill>
      <patternFill patternType="solid">
        <fgColor theme="8" tint="0.79998168889431442"/>
        <bgColor rgb="FFDCE6F1"/>
      </patternFill>
    </fill>
  </fills>
  <borders count="7">
    <border>
      <left/>
      <right/>
      <top/>
      <bottom/>
      <diagonal/>
    </border>
    <border>
      <left style="dotted">
        <color theme="1" tint="0.24994659260841701"/>
      </left>
      <right style="dotted">
        <color theme="1" tint="0.24994659260841701"/>
      </right>
      <top/>
      <bottom style="thick">
        <color theme="8"/>
      </bottom>
      <diagonal/>
    </border>
    <border>
      <left/>
      <right/>
      <top/>
      <bottom style="double">
        <color theme="1" tint="0.24994659260841701"/>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diagonal/>
    </border>
    <border>
      <left style="medium">
        <color rgb="FFC4C7C5"/>
      </left>
      <right style="medium">
        <color rgb="FFC4C7C5"/>
      </right>
      <top style="medium">
        <color rgb="FFC4C7C5"/>
      </top>
      <bottom style="medium">
        <color rgb="FFC4C7C5"/>
      </bottom>
      <diagonal/>
    </border>
  </borders>
  <cellStyleXfs count="5">
    <xf numFmtId="0" fontId="0" fillId="0" borderId="0"/>
    <xf numFmtId="42" fontId="9" fillId="0" borderId="0"/>
    <xf numFmtId="9" fontId="9" fillId="0" borderId="0"/>
    <xf numFmtId="0" fontId="21" fillId="0" borderId="0"/>
    <xf numFmtId="167" fontId="21" fillId="0" borderId="0"/>
  </cellStyleXfs>
  <cellXfs count="93">
    <xf numFmtId="0" fontId="0" fillId="0" borderId="0" xfId="0"/>
    <xf numFmtId="0" fontId="4" fillId="0" borderId="0" xfId="0" applyFont="1"/>
    <xf numFmtId="0" fontId="2" fillId="0" borderId="1" xfId="0" applyFont="1" applyBorder="1" applyAlignment="1">
      <alignment horizontal="center"/>
    </xf>
    <xf numFmtId="42" fontId="0" fillId="0" borderId="0" xfId="1" applyFont="1"/>
    <xf numFmtId="0" fontId="11" fillId="0" borderId="0" xfId="0" applyFont="1"/>
    <xf numFmtId="0" fontId="12" fillId="5" borderId="0" xfId="0" applyFont="1" applyFill="1" applyAlignment="1">
      <alignment horizontal="left" vertical="center"/>
    </xf>
    <xf numFmtId="0" fontId="12" fillId="5" borderId="0" xfId="0" applyFont="1" applyFill="1" applyAlignment="1">
      <alignment horizontal="center" vertical="center"/>
    </xf>
    <xf numFmtId="0" fontId="12" fillId="6" borderId="0" xfId="0" applyFont="1" applyFill="1" applyAlignment="1">
      <alignment horizontal="left" vertical="center"/>
    </xf>
    <xf numFmtId="0" fontId="12" fillId="6" borderId="0" xfId="0" applyFont="1" applyFill="1" applyAlignment="1">
      <alignment horizontal="center" vertical="center"/>
    </xf>
    <xf numFmtId="0" fontId="13" fillId="7" borderId="3" xfId="0" applyFont="1" applyFill="1" applyBorder="1"/>
    <xf numFmtId="164" fontId="13" fillId="7" borderId="3" xfId="0" applyNumberFormat="1" applyFont="1" applyFill="1" applyBorder="1"/>
    <xf numFmtId="3" fontId="13" fillId="7" borderId="3" xfId="0" applyNumberFormat="1" applyFont="1" applyFill="1" applyBorder="1"/>
    <xf numFmtId="0" fontId="13" fillId="8" borderId="3" xfId="0" applyFont="1" applyFill="1" applyBorder="1"/>
    <xf numFmtId="164" fontId="13" fillId="8" borderId="3" xfId="0" applyNumberFormat="1" applyFont="1" applyFill="1" applyBorder="1"/>
    <xf numFmtId="3" fontId="13" fillId="8" borderId="3" xfId="0" applyNumberFormat="1" applyFont="1" applyFill="1" applyBorder="1"/>
    <xf numFmtId="0" fontId="13" fillId="8" borderId="5" xfId="0" applyFont="1" applyFill="1" applyBorder="1"/>
    <xf numFmtId="164" fontId="13" fillId="8" borderId="5" xfId="0" applyNumberFormat="1" applyFont="1" applyFill="1" applyBorder="1"/>
    <xf numFmtId="3" fontId="13" fillId="8" borderId="5" xfId="0" applyNumberFormat="1" applyFont="1" applyFill="1" applyBorder="1"/>
    <xf numFmtId="0" fontId="14" fillId="9" borderId="0" xfId="0" applyFont="1" applyFill="1"/>
    <xf numFmtId="3" fontId="14" fillId="9" borderId="0" xfId="0" applyNumberFormat="1" applyFont="1" applyFill="1"/>
    <xf numFmtId="164" fontId="14" fillId="9" borderId="0" xfId="0" applyNumberFormat="1" applyFont="1" applyFill="1"/>
    <xf numFmtId="0" fontId="10" fillId="10" borderId="0" xfId="0" applyFont="1" applyFill="1"/>
    <xf numFmtId="164" fontId="13" fillId="2" borderId="4" xfId="0" applyNumberFormat="1" applyFont="1" applyFill="1" applyBorder="1"/>
    <xf numFmtId="164" fontId="16" fillId="2" borderId="4" xfId="0" applyNumberFormat="1" applyFont="1" applyFill="1" applyBorder="1"/>
    <xf numFmtId="0" fontId="13" fillId="2" borderId="4" xfId="0" applyFont="1" applyFill="1" applyBorder="1"/>
    <xf numFmtId="3" fontId="13" fillId="2" borderId="4" xfId="0" applyNumberFormat="1" applyFont="1" applyFill="1" applyBorder="1"/>
    <xf numFmtId="0" fontId="13" fillId="11" borderId="4" xfId="0" applyFont="1" applyFill="1" applyBorder="1"/>
    <xf numFmtId="3" fontId="13" fillId="11" borderId="4" xfId="0" applyNumberFormat="1" applyFont="1" applyFill="1" applyBorder="1"/>
    <xf numFmtId="0" fontId="15" fillId="12" borderId="4" xfId="0" applyFont="1" applyFill="1" applyBorder="1"/>
    <xf numFmtId="3" fontId="15" fillId="12" borderId="4" xfId="0" applyNumberFormat="1" applyFont="1" applyFill="1" applyBorder="1"/>
    <xf numFmtId="164" fontId="15" fillId="12" borderId="4" xfId="0" applyNumberFormat="1" applyFont="1" applyFill="1" applyBorder="1"/>
    <xf numFmtId="0" fontId="0" fillId="0" borderId="4" xfId="0" applyBorder="1"/>
    <xf numFmtId="42" fontId="0" fillId="0" borderId="4" xfId="1" applyFont="1" applyBorder="1"/>
    <xf numFmtId="0" fontId="0" fillId="2" borderId="4" xfId="0" applyFill="1" applyBorder="1"/>
    <xf numFmtId="42" fontId="0" fillId="2" borderId="4" xfId="1" applyFont="1" applyFill="1" applyBorder="1"/>
    <xf numFmtId="42" fontId="0" fillId="2" borderId="4" xfId="0" applyNumberFormat="1" applyFill="1" applyBorder="1"/>
    <xf numFmtId="0" fontId="17" fillId="2" borderId="4" xfId="0" applyFont="1" applyFill="1" applyBorder="1"/>
    <xf numFmtId="42" fontId="13" fillId="2" borderId="4" xfId="1" applyFont="1" applyFill="1" applyBorder="1"/>
    <xf numFmtId="0" fontId="18" fillId="0" borderId="0" xfId="0" applyFont="1"/>
    <xf numFmtId="0" fontId="19" fillId="5" borderId="0" xfId="0" applyFont="1" applyFill="1" applyAlignment="1">
      <alignment horizontal="center" vertical="center"/>
    </xf>
    <xf numFmtId="42" fontId="13" fillId="11" borderId="4" xfId="1" applyFont="1" applyFill="1" applyBorder="1"/>
    <xf numFmtId="42" fontId="8" fillId="7" borderId="0" xfId="1" applyFont="1" applyFill="1"/>
    <xf numFmtId="42" fontId="0" fillId="0" borderId="4" xfId="0" applyNumberFormat="1" applyBorder="1"/>
    <xf numFmtId="42" fontId="0" fillId="0" borderId="0" xfId="0" applyNumberFormat="1"/>
    <xf numFmtId="0" fontId="21" fillId="0" borderId="0" xfId="3"/>
    <xf numFmtId="165" fontId="20" fillId="0" borderId="4" xfId="3" applyNumberFormat="1" applyFont="1" applyBorder="1"/>
    <xf numFmtId="165" fontId="21" fillId="0" borderId="4" xfId="3" applyNumberFormat="1" applyBorder="1"/>
    <xf numFmtId="166" fontId="21" fillId="0" borderId="4" xfId="3" applyNumberFormat="1" applyBorder="1"/>
    <xf numFmtId="0" fontId="21" fillId="0" borderId="4" xfId="3" applyBorder="1"/>
    <xf numFmtId="165" fontId="20" fillId="0" borderId="0" xfId="3" applyNumberFormat="1" applyFont="1"/>
    <xf numFmtId="0" fontId="20" fillId="0" borderId="0" xfId="3" applyFont="1"/>
    <xf numFmtId="10" fontId="20" fillId="0" borderId="0" xfId="3" applyNumberFormat="1" applyFont="1"/>
    <xf numFmtId="167" fontId="22" fillId="0" borderId="4" xfId="3" applyNumberFormat="1" applyFont="1" applyBorder="1"/>
    <xf numFmtId="167" fontId="20" fillId="0" borderId="0" xfId="4" applyFont="1"/>
    <xf numFmtId="0" fontId="20" fillId="0" borderId="4" xfId="3" applyFont="1" applyBorder="1"/>
    <xf numFmtId="42" fontId="8" fillId="2" borderId="4" xfId="0" applyNumberFormat="1" applyFont="1" applyFill="1" applyBorder="1"/>
    <xf numFmtId="0" fontId="8" fillId="2" borderId="4" xfId="0" applyFont="1" applyFill="1" applyBorder="1"/>
    <xf numFmtId="0" fontId="23" fillId="2" borderId="4" xfId="0" applyFont="1" applyFill="1" applyBorder="1"/>
    <xf numFmtId="0" fontId="23" fillId="11" borderId="4" xfId="0" applyFont="1" applyFill="1" applyBorder="1"/>
    <xf numFmtId="0" fontId="1" fillId="2" borderId="4" xfId="0" applyFont="1" applyFill="1" applyBorder="1"/>
    <xf numFmtId="0" fontId="4" fillId="0" borderId="4" xfId="0" applyFont="1" applyBorder="1"/>
    <xf numFmtId="0" fontId="1" fillId="3" borderId="4" xfId="0" applyFont="1" applyFill="1" applyBorder="1"/>
    <xf numFmtId="0" fontId="0" fillId="3" borderId="4" xfId="0" applyFill="1" applyBorder="1"/>
    <xf numFmtId="0" fontId="6" fillId="0" borderId="4" xfId="0" applyFont="1" applyBorder="1" applyAlignment="1">
      <alignment horizontal="left" indent="1"/>
    </xf>
    <xf numFmtId="0" fontId="5" fillId="0" borderId="4" xfId="0" applyFont="1" applyBorder="1" applyAlignment="1">
      <alignment horizontal="left" indent="1"/>
    </xf>
    <xf numFmtId="0" fontId="7" fillId="4" borderId="4" xfId="0" applyFont="1" applyFill="1" applyBorder="1"/>
    <xf numFmtId="42" fontId="8" fillId="4" borderId="4" xfId="1" applyFont="1" applyFill="1" applyBorder="1"/>
    <xf numFmtId="0" fontId="8" fillId="4" borderId="4" xfId="0" applyFont="1" applyFill="1" applyBorder="1"/>
    <xf numFmtId="0" fontId="24" fillId="0" borderId="6" xfId="0" applyFont="1" applyBorder="1" applyAlignment="1">
      <alignment horizontal="left" vertical="center" wrapText="1" indent="1"/>
    </xf>
    <xf numFmtId="0" fontId="25" fillId="0" borderId="6" xfId="0" applyFont="1" applyBorder="1" applyAlignment="1">
      <alignment horizontal="left" vertical="center" wrapText="1" indent="1"/>
    </xf>
    <xf numFmtId="0" fontId="0" fillId="0" borderId="4" xfId="0" applyBorder="1" applyAlignment="1">
      <alignment horizontal="center"/>
    </xf>
    <xf numFmtId="42" fontId="0" fillId="3" borderId="4" xfId="1" applyFont="1" applyFill="1" applyBorder="1"/>
    <xf numFmtId="42" fontId="9" fillId="0" borderId="0" xfId="1"/>
    <xf numFmtId="42" fontId="8" fillId="4" borderId="4" xfId="0" applyNumberFormat="1" applyFont="1" applyFill="1" applyBorder="1"/>
    <xf numFmtId="6" fontId="0" fillId="0" borderId="4" xfId="0" applyNumberFormat="1" applyBorder="1"/>
    <xf numFmtId="9" fontId="0" fillId="0" borderId="4" xfId="2" applyFont="1" applyBorder="1"/>
    <xf numFmtId="168" fontId="9" fillId="0" borderId="0" xfId="1" applyNumberFormat="1"/>
    <xf numFmtId="2" fontId="4" fillId="0" borderId="4" xfId="0" applyNumberFormat="1" applyFont="1" applyBorder="1"/>
    <xf numFmtId="2" fontId="9" fillId="0" borderId="4" xfId="2" applyNumberFormat="1" applyBorder="1"/>
    <xf numFmtId="0" fontId="26" fillId="0" borderId="0" xfId="0" applyFont="1" applyAlignment="1">
      <alignment horizontal="center" vertical="center" wrapText="1"/>
    </xf>
    <xf numFmtId="0" fontId="0" fillId="0" borderId="0" xfId="0" applyAlignment="1">
      <alignment vertical="center" wrapText="1"/>
    </xf>
    <xf numFmtId="10" fontId="0" fillId="0" borderId="0" xfId="0" applyNumberFormat="1"/>
    <xf numFmtId="10" fontId="0" fillId="0" borderId="0" xfId="0" applyNumberFormat="1" applyAlignment="1">
      <alignment vertical="center" wrapText="1"/>
    </xf>
    <xf numFmtId="0" fontId="3" fillId="0" borderId="2" xfId="0" applyFont="1" applyBorder="1" applyAlignment="1">
      <alignment horizontal="center"/>
    </xf>
    <xf numFmtId="0" fontId="0" fillId="0" borderId="2" xfId="0" applyBorder="1"/>
    <xf numFmtId="0" fontId="0" fillId="0" borderId="4" xfId="0" applyBorder="1" applyAlignment="1">
      <alignment horizontal="center" vertical="top" wrapText="1"/>
    </xf>
    <xf numFmtId="0" fontId="0" fillId="0" borderId="4" xfId="0" applyBorder="1" applyAlignment="1">
      <alignment horizontal="center"/>
    </xf>
    <xf numFmtId="0" fontId="0" fillId="0" borderId="0" xfId="0" applyBorder="1"/>
    <xf numFmtId="42" fontId="0" fillId="0" borderId="0" xfId="1" applyFont="1" applyBorder="1"/>
    <xf numFmtId="0" fontId="0" fillId="0" borderId="0" xfId="0" applyBorder="1" applyAlignment="1">
      <alignment horizontal="center"/>
    </xf>
    <xf numFmtId="42" fontId="0" fillId="0" borderId="0" xfId="0" applyNumberFormat="1" applyBorder="1"/>
    <xf numFmtId="42" fontId="0" fillId="0" borderId="0" xfId="1" applyFont="1" applyFill="1"/>
    <xf numFmtId="42" fontId="9" fillId="0" borderId="4" xfId="1" applyBorder="1"/>
  </cellXfs>
  <cellStyles count="5">
    <cellStyle name="Moneda [0]" xfId="1" builtinId="7"/>
    <cellStyle name="Moneda [0] 2" xfId="4" xr:uid="{00000000-0005-0000-0000-000004000000}"/>
    <cellStyle name="Normal" xfId="0" builtinId="0"/>
    <cellStyle name="Normal 2" xfId="3" xr:uid="{00000000-0005-0000-0000-000003000000}"/>
    <cellStyle name="Porcentaje" xfId="2" builtinId="5"/>
  </cellStyles>
  <dxfs count="91">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6FAFC"/>
        </patternFill>
      </fill>
    </dxf>
    <dxf>
      <fill>
        <patternFill patternType="solid">
          <fgColor indexed="64"/>
          <bgColor rgb="FFF6FAFC"/>
        </patternFill>
      </fill>
    </dxf>
    <dxf>
      <fill>
        <patternFill patternType="solid">
          <fgColor indexed="64"/>
          <bgColor rgb="FFF6FAFC"/>
        </patternFill>
      </fill>
    </dxf>
    <dxf>
      <fill>
        <patternFill patternType="solid">
          <fgColor indexed="64"/>
          <bgColor rgb="FFF6FAFC"/>
        </patternFill>
      </fill>
    </dxf>
    <dxf>
      <fill>
        <patternFill patternType="solid">
          <fgColor indexed="64"/>
          <bgColor rgb="FFF6FAFC"/>
        </patternFill>
      </fill>
    </dxf>
    <dxf>
      <font>
        <strike val="0"/>
        <condense val="0"/>
        <extend val="0"/>
        <outline val="0"/>
        <shadow val="0"/>
        <vertAlign val="baseline"/>
        <sz val="11"/>
        <color theme="1"/>
        <name val="Calibri"/>
        <family val="2"/>
        <scheme val="minor"/>
      </font>
    </dxf>
    <dxf>
      <fill>
        <patternFill patternType="solid">
          <fgColor indexed="64"/>
          <bgColor rgb="FFF6FAFC"/>
        </patternFill>
      </fill>
    </dxf>
    <dxf>
      <font>
        <strike val="0"/>
        <condense val="0"/>
        <extend val="0"/>
        <outline val="0"/>
        <shadow val="0"/>
        <vertAlign val="baseline"/>
        <sz val="11"/>
        <color theme="1"/>
        <name val="Calibri"/>
        <family val="2"/>
        <scheme val="minor"/>
      </font>
    </dxf>
    <dxf>
      <fill>
        <patternFill patternType="solid">
          <fgColor indexed="64"/>
          <bgColor rgb="FFF6FAFC"/>
        </patternFill>
      </fill>
    </dxf>
    <dxf>
      <fill>
        <patternFill patternType="solid">
          <fgColor indexed="64"/>
          <bgColor rgb="FFF6FAFC"/>
        </patternFill>
      </fill>
    </dxf>
    <dxf>
      <fill>
        <patternFill patternType="solid">
          <fgColor indexed="64"/>
          <bgColor rgb="FFF6FAFC"/>
        </patternFill>
      </fill>
    </dxf>
    <dxf>
      <fill>
        <patternFill patternType="solid">
          <fgColor indexed="64"/>
          <bgColor rgb="FFF6FAFC"/>
        </patternFill>
      </fill>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0" formatCode="General"/>
    </dxf>
    <dxf>
      <fill>
        <patternFill patternType="solid">
          <fgColor indexed="64"/>
          <bgColor rgb="FFF6FAFC"/>
        </patternFill>
      </fill>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rgb="FFF6FAFC"/>
        </patternFill>
      </fill>
    </dxf>
    <dxf>
      <fill>
        <patternFill patternType="solid">
          <fgColor indexed="64"/>
          <bgColor rgb="FFF6FAFC"/>
        </patternFill>
      </fill>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2" formatCode="_ &quot;$&quot;* #,##0_ ;_ &quot;$&quot;* \-#,##0_ ;_ &quot;$&quot;* &quot;-&quot;_ ;_ @_ "/>
      <fill>
        <patternFill patternType="solid">
          <fgColor indexed="64"/>
          <bgColor theme="8" tint="0.79998168889431442"/>
        </patternFill>
      </fill>
      <border diagonalUp="0" diagonalDown="0" outline="0">
        <left style="thin">
          <color indexed="64"/>
        </left>
        <right style="thin">
          <color indexed="64"/>
        </right>
        <top style="thin">
          <color indexed="64"/>
        </top>
        <bottom style="thin">
          <color indexed="64"/>
        </bottom>
      </border>
    </dxf>
    <dxf>
      <border>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bottom/>
        <vertical style="thin">
          <color indexed="64"/>
        </vertical>
        <horizontal style="thin">
          <color indexed="64"/>
        </horizontal>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gresos" displayName="Ingresos" ref="C9:N12" headerRowCount="0" totalsRowCount="1" headerRowDxfId="90" totalsRowDxfId="89" headerRowCellStyle="Moneda [0]" dataCellStyle="Moneda [0]" totalsRowCellStyle="Moneda [0]">
  <tableColumns count="12">
    <tableColumn id="1" xr3:uid="{00000000-0010-0000-0000-000001000000}" name="Columna1" totalsRowFunction="custom" dataDxfId="88" totalsRowDxfId="87" dataCellStyle="Moneda [0]">
      <totalsRowFormula>+SUM(C8:C10)</totalsRowFormula>
    </tableColumn>
    <tableColumn id="2" xr3:uid="{00000000-0010-0000-0000-000002000000}" name="Columna2" totalsRowFunction="custom" dataDxfId="86" totalsRowDxfId="85" dataCellStyle="Moneda [0]">
      <totalsRowFormula>SUM(Ingresos[Columna2])</totalsRowFormula>
    </tableColumn>
    <tableColumn id="3" xr3:uid="{00000000-0010-0000-0000-000003000000}" name="Columna3" totalsRowFunction="custom" dataDxfId="84" totalsRowDxfId="83" dataCellStyle="Moneda [0]">
      <totalsRowFormula>SUM(Ingresos[Columna3])</totalsRowFormula>
    </tableColumn>
    <tableColumn id="4" xr3:uid="{00000000-0010-0000-0000-000004000000}" name="Columna4" totalsRowFunction="custom" dataDxfId="82" totalsRowDxfId="81" dataCellStyle="Moneda [0]">
      <totalsRowFormula>SUM(Ingresos[Columna4])</totalsRowFormula>
    </tableColumn>
    <tableColumn id="5" xr3:uid="{00000000-0010-0000-0000-000005000000}" name="Columna5" totalsRowFunction="custom" dataDxfId="80" totalsRowDxfId="79" dataCellStyle="Moneda [0]">
      <totalsRowFormula>SUM(Ingresos[Columna5])</totalsRowFormula>
    </tableColumn>
    <tableColumn id="6" xr3:uid="{00000000-0010-0000-0000-000006000000}" name="Columna6" totalsRowFunction="custom" dataDxfId="78" totalsRowDxfId="77" dataCellStyle="Moneda [0]">
      <totalsRowFormula>SUM(Ingresos[Columna6])</totalsRowFormula>
    </tableColumn>
    <tableColumn id="7" xr3:uid="{00000000-0010-0000-0000-000007000000}" name="Columna7" totalsRowFunction="custom" dataDxfId="76" totalsRowDxfId="75" dataCellStyle="Moneda [0]">
      <totalsRowFormula>SUM(Ingresos[Columna7])</totalsRowFormula>
    </tableColumn>
    <tableColumn id="8" xr3:uid="{00000000-0010-0000-0000-000008000000}" name="Columna8" totalsRowFunction="custom" dataDxfId="74" totalsRowDxfId="73" dataCellStyle="Moneda [0]">
      <totalsRowFormula>SUM(Ingresos[Columna8])</totalsRowFormula>
    </tableColumn>
    <tableColumn id="9" xr3:uid="{00000000-0010-0000-0000-000009000000}" name="Columna9" totalsRowFunction="custom" dataDxfId="72" totalsRowDxfId="71" dataCellStyle="Moneda [0]">
      <totalsRowFormula>SUM(Ingresos[Columna9])</totalsRowFormula>
    </tableColumn>
    <tableColumn id="10" xr3:uid="{00000000-0010-0000-0000-00000A000000}" name="Columna10" totalsRowFunction="custom" dataDxfId="70" totalsRowDxfId="69" dataCellStyle="Moneda [0]">
      <totalsRowFormula>SUM(Ingresos[Columna10])</totalsRowFormula>
    </tableColumn>
    <tableColumn id="11" xr3:uid="{00000000-0010-0000-0000-00000B000000}" name="Columna11" totalsRowFunction="custom" dataDxfId="68" totalsRowDxfId="67" dataCellStyle="Moneda [0]">
      <totalsRowFormula>SUM(Ingresos[Columna11])</totalsRowFormula>
    </tableColumn>
    <tableColumn id="12" xr3:uid="{00000000-0010-0000-0000-00000C000000}" name="Columna12" totalsRowFunction="custom" dataDxfId="66" totalsRowDxfId="65" dataCellStyle="Moneda [0]">
      <totalsRowFormula>SUM(Ingresos[Columna12])</totalsRow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anciamiento" displayName="Financiamiento" ref="C28:N30" headerRowCount="0" totalsRowCount="1" headerRowDxfId="64" headerRowCellStyle="Moneda [0]" dataCellStyle="Moneda [0]" totalsRowCellStyle="Moneda [0]">
  <tableColumns count="12">
    <tableColumn id="1" xr3:uid="{00000000-0010-0000-0100-000001000000}" name="Columna1" totalsRowFunction="custom" headerRowDxfId="63" totalsRowDxfId="62" dataCellStyle="Moneda [0]">
      <totalsRowFormula>SUM(Financiamiento[Columna1])</totalsRowFormula>
    </tableColumn>
    <tableColumn id="2" xr3:uid="{00000000-0010-0000-0100-000002000000}" name="Columna2" totalsRowFunction="custom" headerRowDxfId="61" dataDxfId="60" totalsRowDxfId="59" dataCellStyle="Moneda [0]">
      <totalsRowFormula>SUM(Financiamiento[Columna2])</totalsRowFormula>
    </tableColumn>
    <tableColumn id="3" xr3:uid="{00000000-0010-0000-0100-000003000000}" name="Columna3" totalsRowFunction="custom" headerRowDxfId="58" dataDxfId="57" totalsRowDxfId="56" dataCellStyle="Moneda [0]">
      <totalsRowFormula>SUM(Financiamiento[Columna3])</totalsRowFormula>
    </tableColumn>
    <tableColumn id="4" xr3:uid="{00000000-0010-0000-0100-000004000000}" name="Columna4" totalsRowFunction="custom" headerRowDxfId="55" dataDxfId="54" totalsRowDxfId="53" dataCellStyle="Moneda [0]">
      <totalsRowFormula>SUM(Financiamiento[Columna4])</totalsRowFormula>
    </tableColumn>
    <tableColumn id="5" xr3:uid="{00000000-0010-0000-0100-000005000000}" name="Columna5" totalsRowFunction="custom" headerRowDxfId="52" dataDxfId="51" totalsRowDxfId="50" dataCellStyle="Moneda [0]">
      <totalsRowFormula>SUM(Financiamiento[Columna5])</totalsRowFormula>
    </tableColumn>
    <tableColumn id="6" xr3:uid="{00000000-0010-0000-0100-000006000000}" name="Columna6" totalsRowFunction="custom" headerRowDxfId="49" dataDxfId="48" totalsRowDxfId="47" dataCellStyle="Moneda [0]">
      <totalsRowFormula>SUM(Financiamiento[Columna6])</totalsRowFormula>
    </tableColumn>
    <tableColumn id="7" xr3:uid="{00000000-0010-0000-0100-000007000000}" name="Columna7" totalsRowFunction="custom" headerRowDxfId="46" dataDxfId="45" totalsRowDxfId="44" dataCellStyle="Moneda [0]">
      <totalsRowFormula>SUM(Financiamiento[Columna7])</totalsRowFormula>
    </tableColumn>
    <tableColumn id="8" xr3:uid="{00000000-0010-0000-0100-000008000000}" name="Columna8" totalsRowFunction="custom" headerRowDxfId="43" dataDxfId="42" totalsRowDxfId="41" dataCellStyle="Moneda [0]">
      <totalsRowFormula>SUM(Financiamiento[Columna8])</totalsRowFormula>
    </tableColumn>
    <tableColumn id="9" xr3:uid="{00000000-0010-0000-0100-000009000000}" name="Columna9" totalsRowFunction="custom" headerRowDxfId="40" dataDxfId="39" totalsRowDxfId="38" dataCellStyle="Moneda [0]">
      <totalsRowFormula>SUM(Financiamiento[Columna9])</totalsRowFormula>
    </tableColumn>
    <tableColumn id="10" xr3:uid="{00000000-0010-0000-0100-00000A000000}" name="Columna10" totalsRowFunction="custom" headerRowDxfId="37" dataDxfId="36" totalsRowDxfId="35" dataCellStyle="Moneda [0]">
      <totalsRowFormula>SUM(Financiamiento[Columna10])</totalsRowFormula>
    </tableColumn>
    <tableColumn id="11" xr3:uid="{00000000-0010-0000-0100-00000B000000}" name="Columna11" totalsRowFunction="custom" headerRowDxfId="34" dataDxfId="33" totalsRowDxfId="32" dataCellStyle="Moneda [0]">
      <totalsRowFormula>SUM(Financiamiento[Columna11])</totalsRowFormula>
    </tableColumn>
    <tableColumn id="12" xr3:uid="{00000000-0010-0000-0100-00000C000000}" name="Columna12" totalsRowFunction="custom" headerRowDxfId="31" dataDxfId="30" totalsRowDxfId="29" dataCellStyle="Moneda [0]">
      <totalsRowFormula>SUM(Financiamiento[Columna12])</totalsRow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gresos" displayName="Egresos" ref="C15:N22" headerRowCount="0" totalsRowCount="1" headerRowDxfId="28">
  <tableColumns count="12">
    <tableColumn id="1" xr3:uid="{00000000-0010-0000-0200-000001000000}" name="Columna1" totalsRowFunction="custom" headerRowDxfId="27" dataDxfId="26" totalsRowDxfId="0" dataCellStyle="Moneda [0]" totalsRowCellStyle="Moneda [0]">
      <totalsRowFormula>SUM(Egresos[Columna1])</totalsRowFormula>
    </tableColumn>
    <tableColumn id="2" xr3:uid="{00000000-0010-0000-0200-000002000000}" name="Columna2" totalsRowFunction="custom" headerRowDxfId="25" dataDxfId="24" totalsRowDxfId="11" dataCellStyle="Moneda [0]">
      <totalsRowFormula>SUM(Egresos[Columna2])</totalsRowFormula>
    </tableColumn>
    <tableColumn id="3" xr3:uid="{00000000-0010-0000-0200-000003000000}" name="Columna3" totalsRowFunction="custom" headerRowDxfId="23" totalsRowDxfId="10">
      <totalsRowFormula>SUM(Egresos[Columna3])</totalsRowFormula>
    </tableColumn>
    <tableColumn id="4" xr3:uid="{00000000-0010-0000-0200-000004000000}" name="Columna4" totalsRowFunction="custom" headerRowDxfId="22" totalsRowDxfId="9">
      <totalsRowFormula>SUM(Egresos[Columna4])</totalsRowFormula>
    </tableColumn>
    <tableColumn id="5" xr3:uid="{00000000-0010-0000-0200-000005000000}" name="Columna5" totalsRowFunction="custom" headerRowDxfId="21" totalsRowDxfId="8">
      <totalsRowFormula>SUM(Egresos[Columna5])</totalsRowFormula>
    </tableColumn>
    <tableColumn id="6" xr3:uid="{00000000-0010-0000-0200-000006000000}" name="Columna6" totalsRowFunction="custom" headerRowDxfId="20" dataDxfId="19" totalsRowDxfId="7" dataCellStyle="Moneda [0]">
      <totalsRowFormula>SUM(Egresos[Columna6])</totalsRowFormula>
    </tableColumn>
    <tableColumn id="7" xr3:uid="{00000000-0010-0000-0200-000007000000}" name="Columna7" totalsRowFunction="custom" headerRowDxfId="18" dataDxfId="17" totalsRowDxfId="6" dataCellStyle="Moneda [0]">
      <totalsRowFormula>SUM(Egresos[Columna7])</totalsRowFormula>
    </tableColumn>
    <tableColumn id="8" xr3:uid="{00000000-0010-0000-0200-000008000000}" name="Columna8" totalsRowFunction="custom" headerRowDxfId="16" totalsRowDxfId="5">
      <totalsRowFormula>SUM(Egresos[Columna8])</totalsRowFormula>
    </tableColumn>
    <tableColumn id="9" xr3:uid="{00000000-0010-0000-0200-000009000000}" name="Columna9" totalsRowFunction="custom" headerRowDxfId="15" totalsRowDxfId="4">
      <totalsRowFormula>SUM(Egresos[Columna9])</totalsRowFormula>
    </tableColumn>
    <tableColumn id="10" xr3:uid="{00000000-0010-0000-0200-00000A000000}" name="Columna10" totalsRowFunction="custom" headerRowDxfId="14" totalsRowDxfId="3">
      <totalsRowFormula>SUM(Egresos[Columna10])</totalsRowFormula>
    </tableColumn>
    <tableColumn id="11" xr3:uid="{00000000-0010-0000-0200-00000B000000}" name="Columna11" totalsRowFunction="custom" headerRowDxfId="13" totalsRowDxfId="2">
      <totalsRowFormula>SUM(Egresos[Columna11])</totalsRowFormula>
    </tableColumn>
    <tableColumn id="12" xr3:uid="{00000000-0010-0000-0200-00000C000000}" name="Columna12" totalsRowFunction="custom" headerRowDxfId="12" totalsRowDxfId="1">
      <totalsRowFormula>SUM(Egresos[Columna12])</totalsRow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2"/>
  <sheetViews>
    <sheetView showGridLines="0" tabSelected="1" zoomScaleNormal="100" workbookViewId="0">
      <pane ySplit="3" topLeftCell="A9" activePane="bottomLeft" state="frozen"/>
      <selection pane="bottomLeft" activeCell="P22" sqref="P22"/>
    </sheetView>
  </sheetViews>
  <sheetFormatPr baseColWidth="10" defaultRowHeight="15.75" x14ac:dyDescent="0.3"/>
  <cols>
    <col min="1" max="1" width="3.7109375" customWidth="1"/>
    <col min="2" max="2" width="37.28515625" style="1" bestFit="1" customWidth="1"/>
    <col min="3" max="3" width="14.140625" bestFit="1" customWidth="1"/>
    <col min="4" max="4" width="13.42578125" bestFit="1" customWidth="1"/>
    <col min="5" max="6" width="13.7109375" bestFit="1" customWidth="1"/>
    <col min="7" max="8" width="13.42578125" bestFit="1" customWidth="1"/>
    <col min="9" max="11" width="14.140625" bestFit="1" customWidth="1"/>
    <col min="12" max="12" width="13.7109375" bestFit="1" customWidth="1"/>
    <col min="13" max="13" width="20.28515625" bestFit="1" customWidth="1"/>
    <col min="14" max="14" width="13.7109375" bestFit="1" customWidth="1"/>
    <col min="15" max="15" width="14.5703125" bestFit="1" customWidth="1"/>
    <col min="16" max="16" width="13" bestFit="1" customWidth="1"/>
  </cols>
  <sheetData>
    <row r="1" spans="2:17" ht="35.25" customHeight="1" thickBot="1" x14ac:dyDescent="0.5">
      <c r="B1" s="83" t="s">
        <v>0</v>
      </c>
      <c r="C1" s="84"/>
      <c r="D1" s="84"/>
      <c r="E1" s="84"/>
      <c r="F1" s="84"/>
      <c r="G1" s="84"/>
      <c r="H1" s="84"/>
      <c r="I1" s="84"/>
      <c r="J1" s="84"/>
      <c r="K1" s="84"/>
      <c r="L1" s="84"/>
      <c r="M1" s="84"/>
      <c r="N1" s="84"/>
      <c r="O1" s="84"/>
    </row>
    <row r="2" spans="2:17" ht="16.5" customHeight="1" thickTop="1" x14ac:dyDescent="0.3">
      <c r="D2" t="s">
        <v>1</v>
      </c>
      <c r="E2" t="s">
        <v>1</v>
      </c>
    </row>
    <row r="3" spans="2:17" ht="21.75" customHeight="1" thickBot="1" x14ac:dyDescent="0.4">
      <c r="C3" s="2" t="s">
        <v>2</v>
      </c>
      <c r="D3" s="2" t="s">
        <v>3</v>
      </c>
      <c r="E3" s="2" t="s">
        <v>4</v>
      </c>
      <c r="F3" s="2" t="s">
        <v>5</v>
      </c>
      <c r="G3" s="2" t="s">
        <v>6</v>
      </c>
      <c r="H3" s="2" t="s">
        <v>7</v>
      </c>
      <c r="I3" s="2" t="s">
        <v>8</v>
      </c>
      <c r="J3" s="2" t="s">
        <v>9</v>
      </c>
      <c r="K3" s="2" t="s">
        <v>10</v>
      </c>
      <c r="L3" s="2" t="s">
        <v>11</v>
      </c>
      <c r="M3" s="2" t="s">
        <v>12</v>
      </c>
      <c r="N3" s="2" t="s">
        <v>13</v>
      </c>
      <c r="O3" s="2" t="s">
        <v>14</v>
      </c>
    </row>
    <row r="4" spans="2:17" ht="16.5" customHeight="1" thickTop="1" x14ac:dyDescent="0.3"/>
    <row r="5" spans="2:17" x14ac:dyDescent="0.3">
      <c r="B5" s="59" t="s">
        <v>15</v>
      </c>
      <c r="C5" s="34">
        <v>50000000</v>
      </c>
      <c r="D5" s="34">
        <f t="shared" ref="D5:K5" si="0">C24</f>
        <v>29745000</v>
      </c>
      <c r="E5" s="34">
        <f t="shared" si="0"/>
        <v>-13760000</v>
      </c>
      <c r="F5" s="34">
        <f t="shared" si="0"/>
        <v>-28705000</v>
      </c>
      <c r="G5" s="34">
        <f t="shared" si="0"/>
        <v>-20310000</v>
      </c>
      <c r="H5" s="34">
        <f t="shared" si="0"/>
        <v>39755000</v>
      </c>
      <c r="I5" s="34">
        <f t="shared" si="0"/>
        <v>6240000</v>
      </c>
      <c r="J5" s="34">
        <f t="shared" si="0"/>
        <v>11295000</v>
      </c>
      <c r="K5" s="34">
        <f t="shared" si="0"/>
        <v>63575000</v>
      </c>
      <c r="L5" s="34"/>
      <c r="M5" s="34">
        <f>L32</f>
        <v>0</v>
      </c>
      <c r="N5" s="34">
        <f>M32</f>
        <v>0</v>
      </c>
      <c r="O5" s="34"/>
      <c r="P5" s="79" t="s">
        <v>115</v>
      </c>
      <c r="Q5" t="s">
        <v>116</v>
      </c>
    </row>
    <row r="6" spans="2:17" x14ac:dyDescent="0.3">
      <c r="B6" s="60"/>
      <c r="C6" s="31"/>
      <c r="D6" s="31"/>
      <c r="E6" s="31"/>
      <c r="F6" s="31"/>
      <c r="G6" s="31"/>
      <c r="H6" s="31"/>
      <c r="I6" s="31"/>
      <c r="J6" s="31"/>
      <c r="K6" s="31"/>
      <c r="L6" s="31"/>
      <c r="M6" s="31"/>
      <c r="N6" s="31"/>
      <c r="O6" s="31"/>
      <c r="P6" s="80" t="s">
        <v>2</v>
      </c>
      <c r="Q6" s="82">
        <f>C10/$O$10</f>
        <v>4.5454545454545456E-2</v>
      </c>
    </row>
    <row r="7" spans="2:17" x14ac:dyDescent="0.3">
      <c r="B7" s="61" t="s">
        <v>16</v>
      </c>
      <c r="C7" s="62"/>
      <c r="D7" s="62"/>
      <c r="E7" s="62"/>
      <c r="F7" s="62"/>
      <c r="G7" s="62"/>
      <c r="H7" s="62"/>
      <c r="I7" s="62"/>
      <c r="J7" s="62"/>
      <c r="K7" s="62"/>
      <c r="L7" s="62"/>
      <c r="M7" s="62"/>
      <c r="N7" s="62"/>
      <c r="O7" s="62"/>
      <c r="P7" s="80" t="s">
        <v>3</v>
      </c>
      <c r="Q7" s="82">
        <f>D10/$O$10</f>
        <v>6.8181818181818177E-2</v>
      </c>
    </row>
    <row r="8" spans="2:17" x14ac:dyDescent="0.3">
      <c r="B8" s="61"/>
      <c r="C8" s="71"/>
      <c r="D8" s="62"/>
      <c r="E8" s="62"/>
      <c r="F8" s="62"/>
      <c r="G8" s="62"/>
      <c r="H8" s="62"/>
      <c r="I8" s="62"/>
      <c r="J8" s="62"/>
      <c r="K8" s="62"/>
      <c r="L8" s="62"/>
      <c r="M8" s="62"/>
      <c r="N8" s="62"/>
      <c r="O8" s="62"/>
      <c r="P8" s="80" t="s">
        <v>4</v>
      </c>
      <c r="Q8" s="82">
        <f>E10/$O$10</f>
        <v>3.4090909090909088E-2</v>
      </c>
    </row>
    <row r="9" spans="2:17" ht="15" customHeight="1" x14ac:dyDescent="0.25">
      <c r="B9" s="63" t="s">
        <v>17</v>
      </c>
      <c r="C9" s="32">
        <v>50000000</v>
      </c>
      <c r="D9" s="32">
        <v>0</v>
      </c>
      <c r="E9" s="32">
        <v>0</v>
      </c>
      <c r="F9" s="32">
        <v>0</v>
      </c>
      <c r="G9" s="32">
        <v>0</v>
      </c>
      <c r="H9" s="32">
        <v>0</v>
      </c>
      <c r="I9" s="32">
        <v>0</v>
      </c>
      <c r="J9" s="32">
        <v>0</v>
      </c>
      <c r="K9" s="32">
        <v>0</v>
      </c>
      <c r="L9" s="32">
        <v>0</v>
      </c>
      <c r="M9" s="32">
        <v>0</v>
      </c>
      <c r="N9" s="32">
        <v>0</v>
      </c>
      <c r="O9" s="32">
        <f>Ingresos[[#This Row],[Columna1]]</f>
        <v>50000000</v>
      </c>
      <c r="P9" s="80" t="s">
        <v>5</v>
      </c>
      <c r="Q9" s="82">
        <f>F10/$O$10</f>
        <v>3.4090909090909088E-2</v>
      </c>
    </row>
    <row r="10" spans="2:17" ht="15" customHeight="1" x14ac:dyDescent="0.25">
      <c r="B10" s="63" t="s">
        <v>18</v>
      </c>
      <c r="C10" s="32">
        <v>20000000</v>
      </c>
      <c r="D10" s="32">
        <v>30000000</v>
      </c>
      <c r="E10" s="32">
        <v>15000000</v>
      </c>
      <c r="F10" s="32">
        <v>15000000</v>
      </c>
      <c r="G10" s="32">
        <v>75000000</v>
      </c>
      <c r="H10" s="32">
        <v>50000000</v>
      </c>
      <c r="I10" s="32">
        <v>55000000</v>
      </c>
      <c r="J10" s="32">
        <v>100000000</v>
      </c>
      <c r="K10" s="32">
        <v>80000000</v>
      </c>
      <c r="L10" s="32"/>
      <c r="M10" s="32"/>
      <c r="N10" s="32"/>
      <c r="O10" s="32">
        <f>SUM(C10:N10)</f>
        <v>440000000</v>
      </c>
      <c r="P10" s="80" t="s">
        <v>6</v>
      </c>
      <c r="Q10" s="82">
        <f>G10/$O$10</f>
        <v>0.17045454545454544</v>
      </c>
    </row>
    <row r="11" spans="2:17" ht="15" customHeight="1" x14ac:dyDescent="0.25">
      <c r="B11" s="63"/>
      <c r="C11" s="32">
        <v>0</v>
      </c>
      <c r="D11" s="32">
        <v>0</v>
      </c>
      <c r="E11" s="32">
        <v>0</v>
      </c>
      <c r="F11" s="32">
        <v>0</v>
      </c>
      <c r="G11" s="32">
        <v>0</v>
      </c>
      <c r="H11" s="32">
        <v>0</v>
      </c>
      <c r="I11" s="32">
        <v>0</v>
      </c>
      <c r="J11" s="32">
        <v>0</v>
      </c>
      <c r="K11" s="32">
        <v>0</v>
      </c>
      <c r="L11" s="32">
        <v>0</v>
      </c>
      <c r="M11" s="32">
        <v>0</v>
      </c>
      <c r="N11" s="32">
        <v>0</v>
      </c>
      <c r="O11" s="32">
        <f>SUM(Ingresos[[#This Row],[Columna1]:[Columna12]])</f>
        <v>0</v>
      </c>
      <c r="P11" s="80" t="s">
        <v>7</v>
      </c>
      <c r="Q11" s="82">
        <f>H10/$O$10</f>
        <v>0.11363636363636363</v>
      </c>
    </row>
    <row r="12" spans="2:17" x14ac:dyDescent="0.3">
      <c r="B12" s="59" t="s">
        <v>19</v>
      </c>
      <c r="C12" s="35">
        <f>+SUM(C8:C10)</f>
        <v>70000000</v>
      </c>
      <c r="D12" s="35">
        <f>SUM(Ingresos[Columna2])</f>
        <v>30000000</v>
      </c>
      <c r="E12" s="35">
        <f>SUM(Ingresos[Columna3])</f>
        <v>15000000</v>
      </c>
      <c r="F12" s="35">
        <f>SUM(Ingresos[Columna4])</f>
        <v>15000000</v>
      </c>
      <c r="G12" s="35">
        <f>SUM(Ingresos[Columna5])</f>
        <v>75000000</v>
      </c>
      <c r="H12" s="35">
        <f>SUM(Ingresos[Columna6])</f>
        <v>50000000</v>
      </c>
      <c r="I12" s="35">
        <f>SUM(Ingresos[Columna7])</f>
        <v>55000000</v>
      </c>
      <c r="J12" s="35">
        <f>SUM(Ingresos[Columna8])</f>
        <v>100000000</v>
      </c>
      <c r="K12" s="35">
        <f>SUM(Ingresos[Columna9])</f>
        <v>80000000</v>
      </c>
      <c r="L12" s="35">
        <f>SUM(Ingresos[Columna10])</f>
        <v>0</v>
      </c>
      <c r="M12" s="35">
        <f>SUM(Ingresos[Columna11])</f>
        <v>0</v>
      </c>
      <c r="N12" s="35">
        <f>SUM(Ingresos[Columna12])</f>
        <v>0</v>
      </c>
      <c r="O12" s="34">
        <f>SUM(Ingresos[#Totals])</f>
        <v>490000000</v>
      </c>
      <c r="P12" s="80" t="s">
        <v>8</v>
      </c>
      <c r="Q12" s="82">
        <f>I10/$O$10</f>
        <v>0.125</v>
      </c>
    </row>
    <row r="13" spans="2:17" x14ac:dyDescent="0.3">
      <c r="B13" s="60"/>
      <c r="C13" s="31"/>
      <c r="D13" s="31"/>
      <c r="E13" s="31"/>
      <c r="F13" s="31"/>
      <c r="G13" s="31"/>
      <c r="H13" s="31"/>
      <c r="I13" s="31"/>
      <c r="J13" s="31"/>
      <c r="K13" s="31"/>
      <c r="L13" s="31"/>
      <c r="M13" s="31"/>
      <c r="N13" s="31"/>
      <c r="O13" s="31"/>
      <c r="P13" s="80" t="s">
        <v>9</v>
      </c>
      <c r="Q13" s="82">
        <f>J10/$O$10</f>
        <v>0.22727272727272727</v>
      </c>
    </row>
    <row r="14" spans="2:17" x14ac:dyDescent="0.3">
      <c r="B14" s="61" t="s">
        <v>20</v>
      </c>
      <c r="C14" s="62"/>
      <c r="D14" s="62"/>
      <c r="E14" s="62"/>
      <c r="F14" s="62"/>
      <c r="G14" s="62"/>
      <c r="H14" s="62"/>
      <c r="I14" s="62"/>
      <c r="J14" s="62"/>
      <c r="K14" s="62"/>
      <c r="L14" s="62"/>
      <c r="M14" s="62"/>
      <c r="N14" s="62"/>
      <c r="O14" s="62"/>
      <c r="P14" s="80" t="s">
        <v>10</v>
      </c>
      <c r="Q14" s="82">
        <f>K10/$O$10</f>
        <v>0.18181818181818182</v>
      </c>
    </row>
    <row r="15" spans="2:17" ht="15" customHeight="1" x14ac:dyDescent="0.25">
      <c r="B15" s="63" t="s">
        <v>21</v>
      </c>
      <c r="C15" s="42">
        <v>34375000</v>
      </c>
      <c r="D15" s="42">
        <v>42835000</v>
      </c>
      <c r="E15" s="42">
        <v>42835000</v>
      </c>
      <c r="F15" s="42">
        <v>34375000</v>
      </c>
      <c r="G15" s="42">
        <v>34375000</v>
      </c>
      <c r="H15" s="42">
        <v>42835000</v>
      </c>
      <c r="I15" s="42">
        <v>42835000</v>
      </c>
      <c r="J15" s="42">
        <v>35500000</v>
      </c>
      <c r="K15" s="42">
        <v>35500000</v>
      </c>
      <c r="L15" s="42"/>
      <c r="M15" s="42"/>
      <c r="N15" s="42"/>
      <c r="O15" s="32">
        <f>SUM(Egresos[[#This Row],[Columna1]:[Columna12]])</f>
        <v>345465000</v>
      </c>
      <c r="P15" s="80" t="s">
        <v>117</v>
      </c>
      <c r="Q15" s="81">
        <f>SUM(Q6:Q14)</f>
        <v>1</v>
      </c>
    </row>
    <row r="16" spans="2:17" ht="15" customHeight="1" x14ac:dyDescent="0.25">
      <c r="B16" s="63" t="s">
        <v>22</v>
      </c>
      <c r="C16" s="42">
        <v>160000</v>
      </c>
      <c r="D16" s="42">
        <v>185000</v>
      </c>
      <c r="E16" s="32">
        <v>160000</v>
      </c>
      <c r="F16" s="32">
        <v>185000</v>
      </c>
      <c r="G16" s="32">
        <v>160000</v>
      </c>
      <c r="H16" s="32">
        <v>185000</v>
      </c>
      <c r="I16" s="32">
        <v>160000</v>
      </c>
      <c r="J16" s="32">
        <v>185000</v>
      </c>
      <c r="K16" s="32">
        <v>160000</v>
      </c>
      <c r="L16" s="32"/>
      <c r="M16" s="32"/>
      <c r="N16" s="32"/>
      <c r="O16" s="32">
        <f>SUM(Egresos[[#This Row],[Columna1]:[Columna12]])</f>
        <v>1540000</v>
      </c>
    </row>
    <row r="17" spans="2:15" ht="15" customHeight="1" x14ac:dyDescent="0.25">
      <c r="B17" s="63" t="s">
        <v>23</v>
      </c>
      <c r="C17" s="32">
        <v>70000</v>
      </c>
      <c r="D17" s="32">
        <v>70000</v>
      </c>
      <c r="E17" s="32">
        <v>70000</v>
      </c>
      <c r="F17" s="32">
        <v>70000</v>
      </c>
      <c r="G17" s="32">
        <v>70000</v>
      </c>
      <c r="H17" s="32">
        <v>70000</v>
      </c>
      <c r="I17" s="32">
        <v>70000</v>
      </c>
      <c r="J17" s="32">
        <v>70000</v>
      </c>
      <c r="K17" s="32">
        <v>70000</v>
      </c>
      <c r="L17" s="32"/>
      <c r="M17" s="32"/>
      <c r="N17" s="32"/>
      <c r="O17" s="32">
        <f>SUM(C17:N17)</f>
        <v>630000</v>
      </c>
    </row>
    <row r="18" spans="2:15" ht="15" customHeight="1" x14ac:dyDescent="0.25">
      <c r="B18" s="63" t="s">
        <v>24</v>
      </c>
      <c r="C18" s="32">
        <v>450000</v>
      </c>
      <c r="D18" s="32">
        <v>450000</v>
      </c>
      <c r="E18" s="32">
        <v>450000</v>
      </c>
      <c r="F18" s="32">
        <v>450000</v>
      </c>
      <c r="G18" s="32">
        <v>450000</v>
      </c>
      <c r="H18" s="32">
        <v>450000</v>
      </c>
      <c r="I18" s="32">
        <v>450000</v>
      </c>
      <c r="J18" s="32">
        <v>450000</v>
      </c>
      <c r="K18" s="32">
        <v>450000</v>
      </c>
      <c r="L18" s="32"/>
      <c r="M18" s="32"/>
      <c r="N18" s="32"/>
      <c r="O18" s="32">
        <f>SUM(Egresos[[#This Row],[Columna1]:[Columna12]])</f>
        <v>4050000</v>
      </c>
    </row>
    <row r="19" spans="2:15" ht="15" customHeight="1" x14ac:dyDescent="0.25">
      <c r="B19" s="63" t="s">
        <v>118</v>
      </c>
      <c r="C19" s="92">
        <v>5000000</v>
      </c>
      <c r="D19" s="91"/>
      <c r="E19" s="32"/>
      <c r="F19" s="32"/>
      <c r="G19" s="32"/>
      <c r="H19" s="91"/>
      <c r="I19" s="91"/>
      <c r="J19" s="32"/>
      <c r="K19" s="32"/>
      <c r="L19" s="32"/>
      <c r="M19" s="32"/>
      <c r="N19" s="32"/>
      <c r="O19" s="32">
        <f>SUM(Egresos[[#This Row],[Columna1]:[Columna12]])</f>
        <v>5000000</v>
      </c>
    </row>
    <row r="20" spans="2:15" ht="15" customHeight="1" x14ac:dyDescent="0.25">
      <c r="B20" s="63" t="s">
        <v>25</v>
      </c>
      <c r="C20" s="32">
        <v>100000</v>
      </c>
      <c r="D20" s="32">
        <v>120000</v>
      </c>
      <c r="E20" s="32">
        <v>90000</v>
      </c>
      <c r="F20" s="32">
        <v>130000</v>
      </c>
      <c r="G20" s="32">
        <v>90000</v>
      </c>
      <c r="H20" s="32">
        <v>120000</v>
      </c>
      <c r="I20" s="32">
        <v>90000</v>
      </c>
      <c r="J20" s="32">
        <v>120000</v>
      </c>
      <c r="K20" s="32">
        <v>90000</v>
      </c>
      <c r="L20" s="32"/>
      <c r="M20" s="32"/>
      <c r="N20" s="32"/>
      <c r="O20" s="32">
        <f>SUM(C20:N20)</f>
        <v>950000</v>
      </c>
    </row>
    <row r="21" spans="2:15" ht="15" customHeight="1" x14ac:dyDescent="0.25">
      <c r="B21" s="63" t="s">
        <v>26</v>
      </c>
      <c r="C21" s="32">
        <v>100000</v>
      </c>
      <c r="D21" s="32">
        <v>100000</v>
      </c>
      <c r="E21" s="32">
        <v>100000</v>
      </c>
      <c r="F21" s="32">
        <v>100000</v>
      </c>
      <c r="G21" s="32">
        <v>100000</v>
      </c>
      <c r="H21" s="32">
        <v>100000</v>
      </c>
      <c r="I21" s="32">
        <v>100000</v>
      </c>
      <c r="J21" s="32">
        <v>100000</v>
      </c>
      <c r="K21" s="32">
        <v>100000</v>
      </c>
      <c r="L21" s="32"/>
      <c r="M21" s="32"/>
      <c r="N21" s="32"/>
      <c r="O21" s="32">
        <f>SUM(Egresos[[#This Row],[Columna1]:[Columna12]])</f>
        <v>900000</v>
      </c>
    </row>
    <row r="22" spans="2:15" x14ac:dyDescent="0.3">
      <c r="B22" s="59" t="s">
        <v>27</v>
      </c>
      <c r="C22" s="35">
        <f>SUM(Egresos[Columna1])</f>
        <v>40255000</v>
      </c>
      <c r="D22" s="35">
        <f>SUM(Egresos[Columna2])</f>
        <v>43760000</v>
      </c>
      <c r="E22" s="35">
        <f>SUM(Egresos[Columna3])</f>
        <v>43705000</v>
      </c>
      <c r="F22" s="35">
        <f>SUM(Egresos[Columna4])</f>
        <v>35310000</v>
      </c>
      <c r="G22" s="35">
        <f>SUM(Egresos[Columna5])</f>
        <v>35245000</v>
      </c>
      <c r="H22" s="35">
        <f>SUM(Egresos[Columna6])</f>
        <v>43760000</v>
      </c>
      <c r="I22" s="35">
        <f>SUM(Egresos[Columna7])</f>
        <v>43705000</v>
      </c>
      <c r="J22" s="35">
        <f>SUM(Egresos[Columna8])</f>
        <v>36425000</v>
      </c>
      <c r="K22" s="35">
        <f>SUM(Egresos[Columna9])</f>
        <v>36370000</v>
      </c>
      <c r="L22" s="35">
        <f>SUM(Egresos[Columna10])</f>
        <v>0</v>
      </c>
      <c r="M22" s="35">
        <f>SUM(Egresos[Columna11])</f>
        <v>0</v>
      </c>
      <c r="N22" s="35">
        <f>SUM(Egresos[Columna12])</f>
        <v>0</v>
      </c>
      <c r="O22" s="34">
        <f>SUM(Egresos[#Totals])</f>
        <v>358535000</v>
      </c>
    </row>
    <row r="23" spans="2:15" ht="15" customHeight="1" x14ac:dyDescent="0.25">
      <c r="B23" s="64"/>
      <c r="C23" s="31"/>
      <c r="D23" s="31"/>
      <c r="E23" s="31"/>
      <c r="F23" s="31"/>
      <c r="G23" s="31"/>
      <c r="H23" s="31"/>
      <c r="I23" s="31"/>
      <c r="J23" s="31"/>
      <c r="K23" s="31"/>
      <c r="L23" s="31"/>
      <c r="M23" s="31"/>
      <c r="N23" s="31"/>
      <c r="O23" s="31"/>
    </row>
    <row r="24" spans="2:15" x14ac:dyDescent="0.3">
      <c r="B24" s="65" t="s">
        <v>28</v>
      </c>
      <c r="C24" s="66">
        <f>Ingresos[[#Totals],[Columna1]]-Egresos[[#Totals],[Columna1]]</f>
        <v>29745000</v>
      </c>
      <c r="D24" s="66">
        <f>D10-Egresos[[#Totals],[Columna2]]</f>
        <v>-13760000</v>
      </c>
      <c r="E24" s="66">
        <f>E10-Egresos[[#Totals],[Columna3]]</f>
        <v>-28705000</v>
      </c>
      <c r="F24" s="66">
        <f>F10-Egresos[[#Totals],[Columna4]]</f>
        <v>-20310000</v>
      </c>
      <c r="G24" s="66">
        <f>G10-Egresos[[#Totals],[Columna5]]</f>
        <v>39755000</v>
      </c>
      <c r="H24" s="66">
        <f>H10-Egresos[[#Totals],[Columna6]]</f>
        <v>6240000</v>
      </c>
      <c r="I24" s="66">
        <f>I10-Egresos[[#Totals],[Columna7]]</f>
        <v>11295000</v>
      </c>
      <c r="J24" s="66">
        <f>J10-Egresos[[#Totals],[Columna8]]</f>
        <v>63575000</v>
      </c>
      <c r="K24" s="66">
        <f>K10-Egresos[[#Totals],[Columna9]]</f>
        <v>43630000</v>
      </c>
      <c r="L24" s="66">
        <f>L5+Ingresos[[#Totals],[Columna10]]-Egresos[[#Totals],[Columna10]]</f>
        <v>0</v>
      </c>
      <c r="M24" s="66">
        <f>M5+Ingresos[[#Totals],[Columna11]]-Egresos[[#Totals],[Columna11]]</f>
        <v>0</v>
      </c>
      <c r="N24" s="66">
        <f>N5+Ingresos[[#Totals],[Columna12]]-Egresos[[#Totals],[Columna12]]</f>
        <v>0</v>
      </c>
      <c r="O24" s="67"/>
    </row>
    <row r="25" spans="2:15" x14ac:dyDescent="0.3">
      <c r="B25" s="65" t="s">
        <v>112</v>
      </c>
      <c r="C25" s="66">
        <f>C24</f>
        <v>29745000</v>
      </c>
      <c r="D25" s="66">
        <f>C25+D10-Egresos[[#Totals],[Columna2]]</f>
        <v>15985000</v>
      </c>
      <c r="E25" s="66">
        <f>D25+E10-Egresos[[#Totals],[Columna3]]</f>
        <v>-12720000</v>
      </c>
      <c r="F25" s="66">
        <f>E25+F10-Egresos[[#Totals],[Columna4]]</f>
        <v>-33030000</v>
      </c>
      <c r="G25" s="66">
        <f>F25+G10-Egresos[[#Totals],[Columna5]]</f>
        <v>6725000</v>
      </c>
      <c r="H25" s="66">
        <f>G25+H10-Egresos[[#Totals],[Columna6]]</f>
        <v>12965000</v>
      </c>
      <c r="I25" s="66">
        <f>H25+I10-Egresos[[#Totals],[Columna7]]</f>
        <v>24260000</v>
      </c>
      <c r="J25" s="66">
        <f>I25+J10-Egresos[[#Totals],[Columna8]]</f>
        <v>87835000</v>
      </c>
      <c r="K25" s="66">
        <f>J25+K10-Egresos[[#Totals],[Columna9]]</f>
        <v>131465000</v>
      </c>
      <c r="L25" s="66"/>
      <c r="M25" s="66"/>
      <c r="N25" s="66"/>
      <c r="O25" s="73">
        <f>O12-O22</f>
        <v>131465000</v>
      </c>
    </row>
    <row r="26" spans="2:15" x14ac:dyDescent="0.3">
      <c r="B26" s="60"/>
      <c r="C26" s="31"/>
      <c r="D26" s="31"/>
      <c r="E26" s="31"/>
      <c r="F26" s="31"/>
      <c r="G26" s="31"/>
      <c r="H26" s="31"/>
      <c r="J26" s="31"/>
      <c r="K26" s="31"/>
      <c r="L26" s="31"/>
      <c r="M26" s="31"/>
      <c r="N26" s="31"/>
      <c r="O26" s="31"/>
    </row>
    <row r="27" spans="2:15" x14ac:dyDescent="0.3">
      <c r="B27" s="61" t="s">
        <v>29</v>
      </c>
      <c r="C27" s="32"/>
      <c r="D27" s="32"/>
      <c r="E27" s="62"/>
      <c r="F27" s="62"/>
      <c r="G27" s="62"/>
      <c r="H27" s="62"/>
      <c r="I27" s="62"/>
      <c r="J27" s="62"/>
      <c r="K27" s="62"/>
      <c r="L27" s="62"/>
      <c r="M27" s="62"/>
      <c r="N27" s="62"/>
      <c r="O27" s="62"/>
    </row>
    <row r="28" spans="2:15" ht="15" customHeight="1" x14ac:dyDescent="0.25">
      <c r="B28" s="63" t="s">
        <v>30</v>
      </c>
      <c r="C28" s="32">
        <v>80000000</v>
      </c>
      <c r="D28" s="32">
        <v>0</v>
      </c>
      <c r="E28" s="32">
        <v>0</v>
      </c>
      <c r="F28" s="32">
        <v>0</v>
      </c>
      <c r="G28" s="32">
        <v>0</v>
      </c>
      <c r="H28" s="32">
        <v>0</v>
      </c>
      <c r="I28" s="32">
        <v>0</v>
      </c>
      <c r="J28" s="32">
        <v>0</v>
      </c>
      <c r="K28" s="32">
        <v>0</v>
      </c>
      <c r="L28" s="32">
        <v>0</v>
      </c>
      <c r="M28" s="32">
        <v>0</v>
      </c>
      <c r="N28" s="32">
        <v>0</v>
      </c>
      <c r="O28" s="32">
        <f>SUM(Financiamiento[[#This Row],[Columna1]:[Columna12]])</f>
        <v>80000000</v>
      </c>
    </row>
    <row r="29" spans="2:15" ht="15" customHeight="1" x14ac:dyDescent="0.25">
      <c r="B29" s="63" t="s">
        <v>31</v>
      </c>
      <c r="C29" s="32">
        <v>0</v>
      </c>
      <c r="D29" s="32">
        <v>14089875.220000001</v>
      </c>
      <c r="E29" s="32">
        <v>14089875.220000001</v>
      </c>
      <c r="F29" s="32">
        <v>14089875.220000001</v>
      </c>
      <c r="G29" s="32">
        <v>14089875.220000001</v>
      </c>
      <c r="H29" s="32">
        <v>14089875.220000001</v>
      </c>
      <c r="I29" s="32">
        <v>14089875.220000001</v>
      </c>
      <c r="J29" s="32"/>
      <c r="K29" s="32"/>
      <c r="L29" s="32"/>
      <c r="M29" s="32"/>
      <c r="N29" s="32"/>
      <c r="O29" s="32">
        <f>SUM(Financiamiento[[#This Row],[Columna1]:[Columna12]])</f>
        <v>84539251.320000008</v>
      </c>
    </row>
    <row r="30" spans="2:15" x14ac:dyDescent="0.3">
      <c r="B30" s="59" t="s">
        <v>32</v>
      </c>
      <c r="C30" s="35">
        <f>SUM(Financiamiento[Columna1])</f>
        <v>80000000</v>
      </c>
      <c r="D30" s="35">
        <f>SUM(Financiamiento[Columna2])</f>
        <v>14089875.220000001</v>
      </c>
      <c r="E30" s="35">
        <f>SUM(Financiamiento[Columna3])</f>
        <v>14089875.220000001</v>
      </c>
      <c r="F30" s="35">
        <f>SUM(Financiamiento[Columna4])</f>
        <v>14089875.220000001</v>
      </c>
      <c r="G30" s="35">
        <f>SUM(Financiamiento[Columna5])</f>
        <v>14089875.220000001</v>
      </c>
      <c r="H30" s="35">
        <f>SUM(Financiamiento[Columna6])</f>
        <v>14089875.220000001</v>
      </c>
      <c r="I30" s="35">
        <f>SUM(Financiamiento[Columna7])</f>
        <v>14089875.220000001</v>
      </c>
      <c r="J30" s="35">
        <f>SUM(Financiamiento[Columna8])</f>
        <v>0</v>
      </c>
      <c r="K30" s="35">
        <f>SUM(Financiamiento[Columna9])</f>
        <v>0</v>
      </c>
      <c r="L30" s="35">
        <f>SUM(Financiamiento[Columna10])</f>
        <v>0</v>
      </c>
      <c r="M30" s="35">
        <f>SUM(Financiamiento[Columna11])</f>
        <v>0</v>
      </c>
      <c r="N30" s="35">
        <f>SUM(Financiamiento[Columna12])</f>
        <v>0</v>
      </c>
      <c r="O30" s="34">
        <f>O28-O29</f>
        <v>-4539251.3200000077</v>
      </c>
    </row>
    <row r="31" spans="2:15" x14ac:dyDescent="0.3">
      <c r="B31" s="60"/>
      <c r="C31" s="31"/>
      <c r="D31" s="31"/>
      <c r="E31" s="31"/>
      <c r="F31" s="31"/>
      <c r="G31" s="31"/>
      <c r="H31" s="31"/>
      <c r="I31" s="31"/>
      <c r="J31" s="31"/>
      <c r="K31" s="31"/>
      <c r="L31" s="31"/>
      <c r="M31" s="31"/>
      <c r="N31" s="31"/>
      <c r="O31" s="31"/>
    </row>
    <row r="32" spans="2:15" x14ac:dyDescent="0.3">
      <c r="B32" s="65" t="s">
        <v>33</v>
      </c>
      <c r="C32" s="66">
        <f>Ingresos[[#Totals],[Columna1]]+Financiamiento[[#Totals],[Columna1]]-Egresos[[#Totals],[Columna1]]</f>
        <v>109745000</v>
      </c>
      <c r="D32" s="66">
        <f>-(Egresos[[#Totals],[Columna2]]+D29)</f>
        <v>-57849875.219999999</v>
      </c>
      <c r="E32" s="66">
        <f>-(Egresos[[#Totals],[Columna3]]+E29)</f>
        <v>-57794875.219999999</v>
      </c>
      <c r="F32" s="66">
        <f>-(Egresos[[#Totals],[Columna4]]+F29)</f>
        <v>-49399875.219999999</v>
      </c>
      <c r="G32" s="66">
        <f>-(Egresos[[#Totals],[Columna5]]+G29)</f>
        <v>-49334875.219999999</v>
      </c>
      <c r="H32" s="66">
        <f>-(Egresos[[#Totals],[Columna6]]+H29)</f>
        <v>-57849875.219999999</v>
      </c>
      <c r="I32" s="66">
        <f>-(Egresos[[#Totals],[Columna7]]+I29)</f>
        <v>-57794875.219999999</v>
      </c>
      <c r="J32" s="66">
        <f>-(Egresos[[#Totals],[Columna8]]+J29)</f>
        <v>-36425000</v>
      </c>
      <c r="K32" s="66">
        <f>-(Egresos[[#Totals],[Columna9]]+K29)</f>
        <v>-36370000</v>
      </c>
      <c r="L32" s="66">
        <f>Ingresos[[#Totals],[Columna10]]+Financiamiento[[#Totals],[Columna10]]-Egresos[[#Totals],[Columna10]]</f>
        <v>0</v>
      </c>
      <c r="M32" s="66">
        <f>Ingresos[[#Totals],[Columna11]]+Financiamiento[[#Totals],[Columna11]]-Egresos[[#Totals],[Columna11]]</f>
        <v>0</v>
      </c>
      <c r="N32" s="66">
        <f>Ingresos[[#Totals],[Columna12]]+Financiamiento[[#Totals],[Columna12]]-Egresos[[#Totals],[Columna12]]</f>
        <v>0</v>
      </c>
      <c r="O32" s="67"/>
    </row>
    <row r="33" spans="2:15" x14ac:dyDescent="0.3">
      <c r="B33" s="60" t="s">
        <v>111</v>
      </c>
      <c r="C33" s="42">
        <f>C32</f>
        <v>109745000</v>
      </c>
      <c r="D33" s="42">
        <f t="shared" ref="D33:K33" si="1">C33+D32+D10</f>
        <v>81895124.780000001</v>
      </c>
      <c r="E33" s="42">
        <f t="shared" si="1"/>
        <v>39100249.560000002</v>
      </c>
      <c r="F33" s="42">
        <f t="shared" si="1"/>
        <v>4700374.3400000036</v>
      </c>
      <c r="G33" s="42">
        <f t="shared" si="1"/>
        <v>30365499.120000005</v>
      </c>
      <c r="H33" s="42">
        <f t="shared" si="1"/>
        <v>22515623.900000006</v>
      </c>
      <c r="I33" s="42">
        <f t="shared" si="1"/>
        <v>19720748.680000007</v>
      </c>
      <c r="J33" s="42">
        <f t="shared" si="1"/>
        <v>83295748.680000007</v>
      </c>
      <c r="K33" s="42">
        <f t="shared" si="1"/>
        <v>126925748.68000001</v>
      </c>
      <c r="L33" s="42"/>
      <c r="M33" s="42"/>
      <c r="N33" s="42"/>
      <c r="O33" s="31"/>
    </row>
    <row r="34" spans="2:15" x14ac:dyDescent="0.3">
      <c r="B34" s="60" t="s">
        <v>34</v>
      </c>
      <c r="C34" s="74">
        <f>NPV(5%, C30:N30)</f>
        <v>144300826.55518302</v>
      </c>
      <c r="E34" s="41"/>
    </row>
    <row r="35" spans="2:15" x14ac:dyDescent="0.3">
      <c r="B35" s="60" t="s">
        <v>35</v>
      </c>
      <c r="C35" s="75">
        <f>IRR(C32:N32)</f>
        <v>0.47384494716525549</v>
      </c>
      <c r="E35" s="41"/>
    </row>
    <row r="36" spans="2:15" x14ac:dyDescent="0.3">
      <c r="B36" s="60"/>
      <c r="C36" s="42">
        <f>C25+D25+E25+F25+G25+H25+I25</f>
        <v>43930000</v>
      </c>
      <c r="E36" s="41"/>
    </row>
    <row r="37" spans="2:15" x14ac:dyDescent="0.3">
      <c r="B37" s="77" t="s">
        <v>114</v>
      </c>
      <c r="C37" s="78">
        <f>7+(ABS(C36-80000000)/J25)</f>
        <v>7.4106563442818922</v>
      </c>
      <c r="D37" s="76"/>
      <c r="E37" s="72"/>
      <c r="F37" s="72"/>
      <c r="G37" s="72"/>
      <c r="H37" s="72"/>
      <c r="I37" s="72"/>
      <c r="J37" s="72"/>
    </row>
    <row r="38" spans="2:15" x14ac:dyDescent="0.3">
      <c r="E38" s="41"/>
    </row>
    <row r="39" spans="2:15" x14ac:dyDescent="0.3">
      <c r="E39" s="41"/>
    </row>
    <row r="40" spans="2:15" x14ac:dyDescent="0.3">
      <c r="E40" s="41"/>
    </row>
    <row r="41" spans="2:15" x14ac:dyDescent="0.3">
      <c r="E41" s="41"/>
    </row>
    <row r="42" spans="2:15" x14ac:dyDescent="0.3">
      <c r="E42" s="41"/>
    </row>
  </sheetData>
  <mergeCells count="1">
    <mergeCell ref="B1:O1"/>
  </mergeCells>
  <pageMargins left="0.7" right="0.7" top="0.75" bottom="0.75" header="0.3" footer="0.3"/>
  <pageSetup orientation="portrait"/>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0"/>
  <sheetViews>
    <sheetView workbookViewId="0">
      <selection activeCell="F14" sqref="F14"/>
    </sheetView>
  </sheetViews>
  <sheetFormatPr baseColWidth="10" defaultRowHeight="15" x14ac:dyDescent="0.25"/>
  <cols>
    <col min="1" max="1" width="74.140625" bestFit="1" customWidth="1"/>
    <col min="2" max="2" width="9.140625" bestFit="1" customWidth="1"/>
    <col min="3" max="3" width="16.28515625" bestFit="1" customWidth="1"/>
    <col min="4" max="4" width="10.28515625" bestFit="1" customWidth="1"/>
    <col min="5" max="5" width="12.42578125" bestFit="1" customWidth="1"/>
    <col min="6" max="6" width="19.42578125" bestFit="1" customWidth="1"/>
    <col min="7" max="7" width="16.85546875" bestFit="1" customWidth="1"/>
    <col min="8" max="8" width="30.7109375" bestFit="1" customWidth="1"/>
    <col min="9" max="9" width="9.140625" bestFit="1" customWidth="1"/>
    <col min="10" max="10" width="16.28515625" bestFit="1" customWidth="1"/>
  </cols>
  <sheetData>
    <row r="1" spans="1:14" ht="16.5" customHeight="1" x14ac:dyDescent="0.25">
      <c r="A1" s="4" t="s">
        <v>36</v>
      </c>
    </row>
    <row r="2" spans="1:14" x14ac:dyDescent="0.25">
      <c r="A2" s="5" t="s">
        <v>37</v>
      </c>
      <c r="B2" s="6" t="s">
        <v>38</v>
      </c>
      <c r="C2" s="6" t="s">
        <v>39</v>
      </c>
      <c r="D2" s="6" t="s">
        <v>40</v>
      </c>
      <c r="E2" s="6" t="s">
        <v>41</v>
      </c>
      <c r="F2" s="6" t="s">
        <v>42</v>
      </c>
      <c r="H2" s="7"/>
      <c r="I2" s="8"/>
      <c r="J2" s="8"/>
      <c r="K2" s="8"/>
      <c r="L2" s="8"/>
      <c r="M2" s="8"/>
      <c r="N2" s="8"/>
    </row>
    <row r="3" spans="1:14" x14ac:dyDescent="0.25">
      <c r="A3" s="57" t="s">
        <v>43</v>
      </c>
      <c r="B3" s="24">
        <v>3</v>
      </c>
      <c r="C3" s="37">
        <v>65000</v>
      </c>
      <c r="D3" s="25">
        <v>125</v>
      </c>
      <c r="E3" s="22">
        <f>B3*C3*D3</f>
        <v>24375000</v>
      </c>
      <c r="F3" s="22">
        <f t="shared" ref="F3:F8" si="0">E3</f>
        <v>24375000</v>
      </c>
      <c r="H3" s="9"/>
      <c r="I3" s="9"/>
      <c r="J3" s="10"/>
      <c r="K3" s="11"/>
      <c r="L3" s="10"/>
      <c r="M3" s="10"/>
      <c r="N3" s="10"/>
    </row>
    <row r="4" spans="1:14" x14ac:dyDescent="0.25">
      <c r="A4" s="58" t="s">
        <v>44</v>
      </c>
      <c r="B4" s="26">
        <v>2</v>
      </c>
      <c r="C4" s="40">
        <v>40000</v>
      </c>
      <c r="D4" s="27">
        <v>125</v>
      </c>
      <c r="E4" s="22">
        <f>B4*C4*D4</f>
        <v>10000000</v>
      </c>
      <c r="F4" s="22">
        <f t="shared" si="0"/>
        <v>10000000</v>
      </c>
      <c r="H4" s="12"/>
      <c r="I4" s="12"/>
      <c r="J4" s="13"/>
      <c r="K4" s="14"/>
      <c r="L4" s="13"/>
      <c r="M4" s="13"/>
      <c r="N4" s="13"/>
    </row>
    <row r="5" spans="1:14" x14ac:dyDescent="0.25">
      <c r="A5" s="58" t="s">
        <v>45</v>
      </c>
      <c r="B5" s="26">
        <v>2</v>
      </c>
      <c r="C5" s="40">
        <v>37000</v>
      </c>
      <c r="D5" s="27">
        <v>90</v>
      </c>
      <c r="E5" s="22">
        <f>B5*C5*D5</f>
        <v>6660000</v>
      </c>
      <c r="F5" s="22">
        <f t="shared" si="0"/>
        <v>6660000</v>
      </c>
      <c r="H5" s="12"/>
      <c r="I5" s="12"/>
      <c r="J5" s="13"/>
      <c r="K5" s="14"/>
      <c r="L5" s="13"/>
      <c r="M5" s="13"/>
      <c r="N5" s="13"/>
    </row>
    <row r="6" spans="1:14" x14ac:dyDescent="0.25">
      <c r="A6" s="57" t="s">
        <v>46</v>
      </c>
      <c r="B6" s="24">
        <v>1</v>
      </c>
      <c r="C6" s="37">
        <v>30000</v>
      </c>
      <c r="D6" s="25">
        <v>60</v>
      </c>
      <c r="E6" s="22">
        <f>B6*C6*D6</f>
        <v>1800000</v>
      </c>
      <c r="F6" s="22">
        <f t="shared" si="0"/>
        <v>1800000</v>
      </c>
      <c r="H6" s="9"/>
      <c r="I6" s="9"/>
      <c r="J6" s="10"/>
      <c r="K6" s="11"/>
      <c r="L6" s="10"/>
      <c r="M6" s="10"/>
      <c r="N6" s="10"/>
    </row>
    <row r="7" spans="1:14" x14ac:dyDescent="0.25">
      <c r="A7" s="58" t="s">
        <v>47</v>
      </c>
      <c r="B7" s="26">
        <v>1</v>
      </c>
      <c r="C7" s="40">
        <v>25000</v>
      </c>
      <c r="D7" s="27">
        <v>45</v>
      </c>
      <c r="E7" s="22">
        <f>B7*C7*D7</f>
        <v>1125000</v>
      </c>
      <c r="F7" s="22">
        <f t="shared" si="0"/>
        <v>1125000</v>
      </c>
      <c r="H7" s="15"/>
      <c r="I7" s="15"/>
      <c r="J7" s="16"/>
      <c r="K7" s="17"/>
      <c r="L7" s="16"/>
      <c r="M7" s="16"/>
      <c r="N7" s="16"/>
    </row>
    <row r="8" spans="1:14" x14ac:dyDescent="0.25">
      <c r="A8" s="28" t="s">
        <v>48</v>
      </c>
      <c r="B8" s="29">
        <f>SUM(B3:B7)</f>
        <v>9</v>
      </c>
      <c r="C8" s="28"/>
      <c r="D8" s="28"/>
      <c r="E8" s="30">
        <f>SUM(E3:E7)</f>
        <v>43960000</v>
      </c>
      <c r="F8" s="23">
        <f t="shared" si="0"/>
        <v>43960000</v>
      </c>
      <c r="H8" s="18"/>
      <c r="I8" s="19"/>
      <c r="J8" s="18"/>
      <c r="K8" s="18"/>
      <c r="L8" s="20"/>
      <c r="M8" s="20"/>
      <c r="N8" s="20"/>
    </row>
    <row r="11" spans="1:14" ht="16.5" customHeight="1" x14ac:dyDescent="0.25">
      <c r="A11" s="4"/>
    </row>
    <row r="13" spans="1:14" x14ac:dyDescent="0.25">
      <c r="A13" s="21" t="s">
        <v>49</v>
      </c>
      <c r="B13" s="21" t="s">
        <v>38</v>
      </c>
      <c r="C13" s="21" t="s">
        <v>50</v>
      </c>
      <c r="D13" s="21" t="s">
        <v>51</v>
      </c>
      <c r="E13" s="21" t="s">
        <v>52</v>
      </c>
      <c r="F13" s="21" t="s">
        <v>53</v>
      </c>
      <c r="G13" s="21" t="s">
        <v>54</v>
      </c>
      <c r="H13" s="21" t="s">
        <v>55</v>
      </c>
    </row>
    <row r="14" spans="1:14" x14ac:dyDescent="0.25">
      <c r="A14" s="57" t="s">
        <v>43</v>
      </c>
      <c r="B14" s="33">
        <f>B3</f>
        <v>3</v>
      </c>
      <c r="C14" s="34">
        <f>C3</f>
        <v>65000</v>
      </c>
      <c r="D14" s="33">
        <v>125</v>
      </c>
      <c r="E14" s="35">
        <f>B14*C14*D14</f>
        <v>24375000</v>
      </c>
      <c r="F14" s="35">
        <f>E14</f>
        <v>24375000</v>
      </c>
      <c r="G14" s="33">
        <v>9</v>
      </c>
      <c r="H14" s="35">
        <f>F14*G14</f>
        <v>219375000</v>
      </c>
      <c r="I14" t="s">
        <v>1</v>
      </c>
    </row>
    <row r="15" spans="1:14" x14ac:dyDescent="0.25">
      <c r="A15" s="58" t="s">
        <v>44</v>
      </c>
      <c r="B15" s="33">
        <v>2</v>
      </c>
      <c r="C15" s="34">
        <f>C4</f>
        <v>40000</v>
      </c>
      <c r="D15" s="33">
        <v>125</v>
      </c>
      <c r="E15" s="35">
        <f>B15*C15*D15</f>
        <v>10000000</v>
      </c>
      <c r="F15" s="35">
        <f>E15</f>
        <v>10000000</v>
      </c>
      <c r="G15" s="33">
        <v>9</v>
      </c>
      <c r="H15" s="35">
        <f>F15*G15</f>
        <v>90000000</v>
      </c>
      <c r="I15" t="s">
        <v>1</v>
      </c>
    </row>
    <row r="16" spans="1:14" x14ac:dyDescent="0.25">
      <c r="A16" s="58" t="s">
        <v>45</v>
      </c>
      <c r="B16" s="33">
        <v>2</v>
      </c>
      <c r="C16" s="34">
        <f>C5</f>
        <v>37000</v>
      </c>
      <c r="D16" s="33">
        <v>90</v>
      </c>
      <c r="E16" s="35">
        <f>B16*C16*D16</f>
        <v>6660000</v>
      </c>
      <c r="F16" s="35">
        <f>E16</f>
        <v>6660000</v>
      </c>
      <c r="G16" s="33">
        <v>4</v>
      </c>
      <c r="H16" s="35">
        <f>F16*G16</f>
        <v>26640000</v>
      </c>
      <c r="I16" t="s">
        <v>1</v>
      </c>
    </row>
    <row r="17" spans="1:9" x14ac:dyDescent="0.25">
      <c r="A17" s="57" t="s">
        <v>46</v>
      </c>
      <c r="B17" s="33">
        <v>1</v>
      </c>
      <c r="C17" s="34">
        <f>C6</f>
        <v>30000</v>
      </c>
      <c r="D17" s="33">
        <v>60</v>
      </c>
      <c r="E17" s="35">
        <f>B17*C17*D17</f>
        <v>1800000</v>
      </c>
      <c r="F17" s="35">
        <f>E17</f>
        <v>1800000</v>
      </c>
      <c r="G17" s="33">
        <v>4</v>
      </c>
      <c r="H17" s="35">
        <f>F17*G17</f>
        <v>7200000</v>
      </c>
    </row>
    <row r="18" spans="1:9" x14ac:dyDescent="0.25">
      <c r="A18" s="58" t="s">
        <v>47</v>
      </c>
      <c r="B18" s="33">
        <v>1</v>
      </c>
      <c r="C18" s="34">
        <f>C7</f>
        <v>25000</v>
      </c>
      <c r="D18" s="33">
        <v>45</v>
      </c>
      <c r="E18" s="35">
        <f>B18*C18*D18</f>
        <v>1125000</v>
      </c>
      <c r="F18" s="35">
        <f>E18</f>
        <v>1125000</v>
      </c>
      <c r="G18" s="33">
        <v>2</v>
      </c>
      <c r="H18" s="35">
        <f>F18*G18</f>
        <v>2250000</v>
      </c>
      <c r="I18" t="s">
        <v>1</v>
      </c>
    </row>
    <row r="19" spans="1:9" x14ac:dyDescent="0.25">
      <c r="A19" s="28" t="s">
        <v>48</v>
      </c>
      <c r="B19" s="33">
        <f>SUM(B14:B18)</f>
        <v>9</v>
      </c>
      <c r="C19" s="55">
        <f>SUM(C14:C18)</f>
        <v>197000</v>
      </c>
      <c r="D19" s="56">
        <f>SUM(D14:D18)</f>
        <v>445</v>
      </c>
      <c r="E19" s="55">
        <f>SUM(E14:E18)</f>
        <v>43960000</v>
      </c>
      <c r="F19" s="35">
        <f>SUM(F14:F18)</f>
        <v>43960000</v>
      </c>
      <c r="G19" s="36" t="s">
        <v>56</v>
      </c>
      <c r="H19" s="35">
        <f>SUM(H14:H18)</f>
        <v>345465000</v>
      </c>
    </row>
    <row r="22" spans="1:9" x14ac:dyDescent="0.25">
      <c r="A22" s="43">
        <f>E14</f>
        <v>24375000</v>
      </c>
      <c r="B22" t="s">
        <v>57</v>
      </c>
    </row>
    <row r="23" spans="1:9" x14ac:dyDescent="0.25">
      <c r="A23" s="3">
        <f>E15</f>
        <v>10000000</v>
      </c>
      <c r="B23" t="s">
        <v>58</v>
      </c>
      <c r="C23" s="43"/>
    </row>
    <row r="24" spans="1:9" x14ac:dyDescent="0.25">
      <c r="A24" s="3">
        <f>E16</f>
        <v>6660000</v>
      </c>
      <c r="B24" t="s">
        <v>59</v>
      </c>
      <c r="C24" s="43"/>
    </row>
    <row r="25" spans="1:9" x14ac:dyDescent="0.25">
      <c r="A25" s="3">
        <f>E17</f>
        <v>1800000</v>
      </c>
      <c r="B25" t="s">
        <v>60</v>
      </c>
      <c r="C25" s="43"/>
    </row>
    <row r="26" spans="1:9" x14ac:dyDescent="0.25">
      <c r="A26" s="43">
        <f>E18</f>
        <v>1125000</v>
      </c>
      <c r="B26" t="s">
        <v>61</v>
      </c>
    </row>
    <row r="27" spans="1:9" x14ac:dyDescent="0.25">
      <c r="A27" s="43">
        <f>A22+A23</f>
        <v>34375000</v>
      </c>
      <c r="B27" t="s">
        <v>62</v>
      </c>
    </row>
    <row r="28" spans="1:9" x14ac:dyDescent="0.25">
      <c r="A28" s="43">
        <f>A22+A23+A24+E17</f>
        <v>42835000</v>
      </c>
      <c r="B28" t="s">
        <v>63</v>
      </c>
    </row>
    <row r="29" spans="1:9" x14ac:dyDescent="0.25">
      <c r="A29" s="43">
        <f>A22+A23+A26</f>
        <v>35500000</v>
      </c>
      <c r="B29" t="s">
        <v>64</v>
      </c>
    </row>
    <row r="30" spans="1:9" x14ac:dyDescent="0.25">
      <c r="A30" s="43">
        <f>A22+A23+A25</f>
        <v>36175000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election activeCell="A8" sqref="A8"/>
    </sheetView>
  </sheetViews>
  <sheetFormatPr baseColWidth="10" defaultRowHeight="15" x14ac:dyDescent="0.25"/>
  <cols>
    <col min="1" max="1" width="40.42578125" customWidth="1"/>
    <col min="2" max="2" width="13" bestFit="1" customWidth="1"/>
    <col min="3" max="3" width="30.7109375" customWidth="1"/>
    <col min="4" max="4" width="13.28515625" bestFit="1" customWidth="1"/>
    <col min="5" max="5" width="17.140625" bestFit="1" customWidth="1"/>
    <col min="6" max="6" width="121" bestFit="1" customWidth="1"/>
  </cols>
  <sheetData>
    <row r="1" spans="1:6" ht="16.5" customHeight="1" x14ac:dyDescent="0.25">
      <c r="A1" s="38" t="s">
        <v>65</v>
      </c>
    </row>
    <row r="2" spans="1:6" x14ac:dyDescent="0.25">
      <c r="A2" s="5" t="s">
        <v>66</v>
      </c>
      <c r="B2" s="6" t="s">
        <v>67</v>
      </c>
      <c r="C2" s="6" t="s">
        <v>68</v>
      </c>
      <c r="D2" s="39" t="s">
        <v>69</v>
      </c>
      <c r="E2" s="39" t="s">
        <v>70</v>
      </c>
      <c r="F2" s="6" t="s">
        <v>71</v>
      </c>
    </row>
    <row r="3" spans="1:6" x14ac:dyDescent="0.25">
      <c r="A3" s="31" t="s">
        <v>72</v>
      </c>
      <c r="B3" s="32">
        <v>25000</v>
      </c>
      <c r="C3" s="70" t="s">
        <v>73</v>
      </c>
      <c r="D3" s="31">
        <v>9</v>
      </c>
      <c r="E3" s="42">
        <f>B3*D3</f>
        <v>225000</v>
      </c>
      <c r="F3" s="31" t="s">
        <v>74</v>
      </c>
    </row>
    <row r="4" spans="1:6" x14ac:dyDescent="0.25">
      <c r="A4" s="31" t="s">
        <v>75</v>
      </c>
      <c r="B4" s="32">
        <v>80000</v>
      </c>
      <c r="C4" s="70" t="s">
        <v>73</v>
      </c>
      <c r="D4" s="31">
        <v>9</v>
      </c>
      <c r="E4" s="42">
        <f>B4*D4</f>
        <v>720000</v>
      </c>
      <c r="F4" s="31" t="s">
        <v>76</v>
      </c>
    </row>
    <row r="5" spans="1:6" x14ac:dyDescent="0.25">
      <c r="A5" s="31" t="s">
        <v>77</v>
      </c>
      <c r="B5" s="3">
        <v>55000</v>
      </c>
      <c r="C5" s="70" t="s">
        <v>73</v>
      </c>
      <c r="D5" s="31">
        <v>9</v>
      </c>
      <c r="E5" s="42">
        <f>B5*D5</f>
        <v>495000</v>
      </c>
      <c r="F5" s="31" t="s">
        <v>78</v>
      </c>
    </row>
    <row r="6" spans="1:6" x14ac:dyDescent="0.25">
      <c r="A6" s="31" t="s">
        <v>79</v>
      </c>
      <c r="B6" s="32">
        <v>25000</v>
      </c>
      <c r="C6" s="70" t="s">
        <v>73</v>
      </c>
      <c r="D6" s="31">
        <v>9</v>
      </c>
      <c r="E6" s="42">
        <f>B6*D6</f>
        <v>225000</v>
      </c>
      <c r="F6" s="31" t="s">
        <v>80</v>
      </c>
    </row>
    <row r="7" spans="1:6" x14ac:dyDescent="0.25">
      <c r="A7" s="87"/>
      <c r="B7" s="88"/>
      <c r="C7" s="89"/>
      <c r="D7" s="87"/>
      <c r="E7" s="90"/>
      <c r="F7" s="87"/>
    </row>
    <row r="8" spans="1:6" x14ac:dyDescent="0.25">
      <c r="B8" s="3"/>
      <c r="E8" s="43"/>
    </row>
    <row r="9" spans="1:6" x14ac:dyDescent="0.25">
      <c r="A9" s="28" t="s">
        <v>81</v>
      </c>
      <c r="B9" s="32">
        <f>SUM(E3:E8)</f>
        <v>1665000</v>
      </c>
    </row>
    <row r="10" spans="1:6" ht="15.75" customHeight="1" thickBot="1" x14ac:dyDescent="0.3"/>
    <row r="11" spans="1:6" ht="30.75" customHeight="1" thickBot="1" x14ac:dyDescent="0.3">
      <c r="A11" s="68" t="s">
        <v>82</v>
      </c>
      <c r="B11" s="68" t="s">
        <v>83</v>
      </c>
      <c r="C11" s="68" t="s">
        <v>84</v>
      </c>
    </row>
    <row r="12" spans="1:6" ht="30.75" customHeight="1" thickBot="1" x14ac:dyDescent="0.3">
      <c r="A12" s="68" t="s">
        <v>85</v>
      </c>
      <c r="B12" s="68" t="s">
        <v>86</v>
      </c>
      <c r="C12" s="69" t="s">
        <v>87</v>
      </c>
    </row>
    <row r="13" spans="1:6" ht="74.25" customHeight="1" thickBot="1" x14ac:dyDescent="0.3">
      <c r="A13" s="68" t="s">
        <v>88</v>
      </c>
      <c r="B13" s="68" t="s">
        <v>89</v>
      </c>
      <c r="C13" s="69" t="s">
        <v>90</v>
      </c>
    </row>
    <row r="14" spans="1:6" ht="30.75" customHeight="1" thickBot="1" x14ac:dyDescent="0.3">
      <c r="A14" s="68" t="s">
        <v>91</v>
      </c>
      <c r="B14" s="68" t="s">
        <v>86</v>
      </c>
      <c r="C14" s="69" t="s">
        <v>87</v>
      </c>
    </row>
    <row r="15" spans="1:6" ht="74.25" customHeight="1" thickBot="1" x14ac:dyDescent="0.3">
      <c r="A15" s="68" t="s">
        <v>92</v>
      </c>
      <c r="B15" s="68" t="s">
        <v>89</v>
      </c>
      <c r="C15" s="69" t="s">
        <v>93</v>
      </c>
    </row>
    <row r="16" spans="1:6" ht="30.75" customHeight="1" thickBot="1" x14ac:dyDescent="0.3">
      <c r="A16" s="68" t="s">
        <v>94</v>
      </c>
      <c r="B16" s="68" t="s">
        <v>86</v>
      </c>
      <c r="C16" s="69" t="s">
        <v>87</v>
      </c>
    </row>
    <row r="17" spans="1:3" ht="59.25" customHeight="1" thickBot="1" x14ac:dyDescent="0.3">
      <c r="A17" s="68" t="s">
        <v>95</v>
      </c>
      <c r="B17" s="68" t="s">
        <v>89</v>
      </c>
      <c r="C17" s="69" t="s">
        <v>96</v>
      </c>
    </row>
    <row r="18" spans="1:3" ht="30.75" customHeight="1" thickBot="1" x14ac:dyDescent="0.3">
      <c r="A18" s="68" t="s">
        <v>97</v>
      </c>
      <c r="B18" s="68" t="s">
        <v>86</v>
      </c>
      <c r="C18" s="69" t="s">
        <v>87</v>
      </c>
    </row>
    <row r="19" spans="1:3" ht="59.25" customHeight="1" thickBot="1" x14ac:dyDescent="0.3">
      <c r="A19" s="68" t="s">
        <v>98</v>
      </c>
      <c r="B19" s="68" t="s">
        <v>89</v>
      </c>
      <c r="C19" s="69" t="s">
        <v>99</v>
      </c>
    </row>
    <row r="20" spans="1:3" ht="30.75" customHeight="1" thickBot="1" x14ac:dyDescent="0.3">
      <c r="A20" s="68" t="s">
        <v>100</v>
      </c>
      <c r="B20" s="68" t="s">
        <v>86</v>
      </c>
      <c r="C20" s="69" t="s">
        <v>87</v>
      </c>
    </row>
    <row r="21" spans="1:3" x14ac:dyDescent="0.25">
      <c r="B2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workbookViewId="0">
      <selection activeCell="E18" sqref="E18"/>
    </sheetView>
  </sheetViews>
  <sheetFormatPr baseColWidth="10" defaultColWidth="12.5703125" defaultRowHeight="15.75" x14ac:dyDescent="0.25"/>
  <cols>
    <col min="1" max="1" width="12.5703125" style="44" customWidth="1"/>
    <col min="2" max="2" width="18.28515625" style="44" customWidth="1"/>
    <col min="3" max="3" width="16.85546875" style="44" bestFit="1" customWidth="1"/>
    <col min="4" max="4" width="20.5703125" style="44" customWidth="1"/>
    <col min="5" max="5" width="19" style="44" bestFit="1" customWidth="1"/>
    <col min="6" max="7" width="12.5703125" style="44" customWidth="1"/>
    <col min="8" max="8" width="21.85546875" style="44" customWidth="1"/>
    <col min="9" max="9" width="12.5703125" style="44" customWidth="1"/>
    <col min="10" max="16384" width="12.5703125" style="44"/>
  </cols>
  <sheetData>
    <row r="1" spans="1:8" ht="16.5" customHeight="1" x14ac:dyDescent="0.25">
      <c r="A1" s="50" t="s">
        <v>101</v>
      </c>
    </row>
    <row r="2" spans="1:8" x14ac:dyDescent="0.25">
      <c r="A2" s="54" t="s">
        <v>102</v>
      </c>
      <c r="B2" s="54" t="s">
        <v>103</v>
      </c>
      <c r="C2" s="54" t="s">
        <v>104</v>
      </c>
      <c r="D2" s="54" t="s">
        <v>105</v>
      </c>
      <c r="E2" s="54" t="s">
        <v>106</v>
      </c>
      <c r="G2" s="50" t="s">
        <v>107</v>
      </c>
      <c r="H2" s="53">
        <v>80000000</v>
      </c>
    </row>
    <row r="3" spans="1:8" ht="21" customHeight="1" x14ac:dyDescent="0.35">
      <c r="A3" s="48">
        <v>0</v>
      </c>
      <c r="B3" s="48"/>
      <c r="C3" s="48"/>
      <c r="D3" s="48"/>
      <c r="E3" s="52">
        <f>H2</f>
        <v>80000000</v>
      </c>
      <c r="G3" s="50" t="s">
        <v>102</v>
      </c>
      <c r="H3" s="50">
        <v>6</v>
      </c>
    </row>
    <row r="4" spans="1:8" x14ac:dyDescent="0.25">
      <c r="A4" s="48">
        <v>1</v>
      </c>
      <c r="B4" s="46">
        <f t="shared" ref="B4:B9" si="0">$H$6</f>
        <v>-14089875.216294752</v>
      </c>
      <c r="C4" s="47">
        <f t="shared" ref="C4:C13" si="1">E3*$H$4</f>
        <v>1280000</v>
      </c>
      <c r="D4" s="46">
        <f t="shared" ref="D4:D13" si="2">B4+C4</f>
        <v>-12809875.216294752</v>
      </c>
      <c r="E4" s="47">
        <f t="shared" ref="E4:E13" si="3">E3+D4</f>
        <v>67190124.783705249</v>
      </c>
      <c r="G4" s="50" t="s">
        <v>108</v>
      </c>
      <c r="H4" s="51">
        <v>1.6E-2</v>
      </c>
    </row>
    <row r="5" spans="1:8" x14ac:dyDescent="0.25">
      <c r="A5" s="48">
        <v>2</v>
      </c>
      <c r="B5" s="46">
        <f t="shared" si="0"/>
        <v>-14089875.216294752</v>
      </c>
      <c r="C5" s="47">
        <f t="shared" si="1"/>
        <v>1075041.996539284</v>
      </c>
      <c r="D5" s="46">
        <f t="shared" si="2"/>
        <v>-13014833.219755469</v>
      </c>
      <c r="E5" s="47">
        <f t="shared" si="3"/>
        <v>54175291.563949779</v>
      </c>
      <c r="G5" s="50"/>
      <c r="H5" s="50"/>
    </row>
    <row r="6" spans="1:8" x14ac:dyDescent="0.25">
      <c r="A6" s="48">
        <v>3</v>
      </c>
      <c r="B6" s="46">
        <f t="shared" si="0"/>
        <v>-14089875.216294752</v>
      </c>
      <c r="C6" s="47">
        <f t="shared" si="1"/>
        <v>866804.66502319649</v>
      </c>
      <c r="D6" s="46">
        <f t="shared" si="2"/>
        <v>-13223070.551271556</v>
      </c>
      <c r="E6" s="47">
        <f t="shared" si="3"/>
        <v>40952221.012678221</v>
      </c>
      <c r="G6" s="50" t="s">
        <v>109</v>
      </c>
      <c r="H6" s="49">
        <f>PMT(H4,H3,H2)</f>
        <v>-14089875.216294752</v>
      </c>
    </row>
    <row r="7" spans="1:8" x14ac:dyDescent="0.25">
      <c r="A7" s="48">
        <v>4</v>
      </c>
      <c r="B7" s="46">
        <f t="shared" si="0"/>
        <v>-14089875.216294752</v>
      </c>
      <c r="C7" s="47">
        <f t="shared" si="1"/>
        <v>655235.53620285157</v>
      </c>
      <c r="D7" s="46">
        <f t="shared" si="2"/>
        <v>-13434639.680091901</v>
      </c>
      <c r="E7" s="47">
        <f t="shared" si="3"/>
        <v>27517581.332586318</v>
      </c>
    </row>
    <row r="8" spans="1:8" x14ac:dyDescent="0.25">
      <c r="A8" s="48">
        <v>5</v>
      </c>
      <c r="B8" s="46">
        <f t="shared" si="0"/>
        <v>-14089875.216294752</v>
      </c>
      <c r="C8" s="47">
        <f t="shared" si="1"/>
        <v>440281.30132138112</v>
      </c>
      <c r="D8" s="46">
        <f t="shared" si="2"/>
        <v>-13649593.914973371</v>
      </c>
      <c r="E8" s="47">
        <f t="shared" si="3"/>
        <v>13867987.417612948</v>
      </c>
    </row>
    <row r="9" spans="1:8" x14ac:dyDescent="0.25">
      <c r="A9" s="48">
        <v>6</v>
      </c>
      <c r="B9" s="46">
        <f t="shared" si="0"/>
        <v>-14089875.216294752</v>
      </c>
      <c r="C9" s="47">
        <f t="shared" si="1"/>
        <v>221887.79868180715</v>
      </c>
      <c r="D9" s="46">
        <f t="shared" si="2"/>
        <v>-13867987.417612946</v>
      </c>
      <c r="E9" s="47">
        <f t="shared" si="3"/>
        <v>0</v>
      </c>
    </row>
    <row r="10" spans="1:8" x14ac:dyDescent="0.25">
      <c r="A10" s="48">
        <v>7</v>
      </c>
      <c r="B10" s="46"/>
      <c r="C10" s="47">
        <f t="shared" si="1"/>
        <v>0</v>
      </c>
      <c r="D10" s="46">
        <f t="shared" si="2"/>
        <v>0</v>
      </c>
      <c r="E10" s="47">
        <f t="shared" si="3"/>
        <v>0</v>
      </c>
    </row>
    <row r="11" spans="1:8" x14ac:dyDescent="0.25">
      <c r="A11" s="48">
        <v>8</v>
      </c>
      <c r="B11" s="46"/>
      <c r="C11" s="47">
        <f t="shared" si="1"/>
        <v>0</v>
      </c>
      <c r="D11" s="46">
        <f t="shared" si="2"/>
        <v>0</v>
      </c>
      <c r="E11" s="47">
        <f t="shared" si="3"/>
        <v>0</v>
      </c>
    </row>
    <row r="12" spans="1:8" x14ac:dyDescent="0.25">
      <c r="A12" s="48">
        <v>9</v>
      </c>
      <c r="B12" s="46"/>
      <c r="C12" s="47">
        <f t="shared" si="1"/>
        <v>0</v>
      </c>
      <c r="D12" s="46">
        <f t="shared" si="2"/>
        <v>0</v>
      </c>
      <c r="E12" s="47">
        <f t="shared" si="3"/>
        <v>0</v>
      </c>
    </row>
    <row r="13" spans="1:8" x14ac:dyDescent="0.25">
      <c r="A13" s="48">
        <v>10</v>
      </c>
      <c r="B13" s="46"/>
      <c r="C13" s="47">
        <f t="shared" si="1"/>
        <v>0</v>
      </c>
      <c r="D13" s="46">
        <f t="shared" si="2"/>
        <v>0</v>
      </c>
      <c r="E13" s="47">
        <f t="shared" si="3"/>
        <v>0</v>
      </c>
    </row>
    <row r="14" spans="1:8" x14ac:dyDescent="0.25">
      <c r="B14" s="46">
        <f>SUM(B4:B13)</f>
        <v>-84539251.297768518</v>
      </c>
      <c r="C14" s="46">
        <f>SUM(C4:C13)</f>
        <v>4539251.2977685202</v>
      </c>
      <c r="D14" s="45">
        <f>SUM(D4:D13)</f>
        <v>-80000000</v>
      </c>
    </row>
    <row r="19" spans="2:2" x14ac:dyDescent="0.25">
      <c r="B19" s="44">
        <v>14089875.220000001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
  <sheetViews>
    <sheetView workbookViewId="0">
      <selection activeCell="L8" sqref="L8"/>
    </sheetView>
  </sheetViews>
  <sheetFormatPr baseColWidth="10" defaultRowHeight="15" x14ac:dyDescent="0.25"/>
  <cols>
    <col min="1" max="1" width="13.7109375" customWidth="1"/>
  </cols>
  <sheetData>
    <row r="1" spans="1:9" x14ac:dyDescent="0.25">
      <c r="A1" s="86" t="s">
        <v>110</v>
      </c>
      <c r="B1" s="86"/>
      <c r="C1" s="86"/>
      <c r="D1" s="86"/>
      <c r="E1" s="86"/>
      <c r="F1" s="86"/>
      <c r="G1" s="86"/>
      <c r="H1" s="86"/>
      <c r="I1" s="86"/>
    </row>
    <row r="2" spans="1:9" ht="265.5" customHeight="1" x14ac:dyDescent="0.25">
      <c r="A2" s="85" t="s">
        <v>113</v>
      </c>
      <c r="B2" s="85"/>
      <c r="C2" s="85"/>
      <c r="D2" s="85"/>
      <c r="E2" s="85"/>
      <c r="F2" s="85"/>
      <c r="G2" s="85"/>
      <c r="H2" s="85"/>
      <c r="I2" s="85"/>
    </row>
  </sheetData>
  <mergeCells count="2">
    <mergeCell ref="A2:I2"/>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Flujo de caja</vt:lpstr>
      <vt:lpstr>Gasto RH</vt:lpstr>
      <vt:lpstr>Gasto operacional</vt:lpstr>
      <vt:lpstr>Ejemplo tablas de amortizacion</vt:lpstr>
      <vt:lpstr>Justificacion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Moises</dc:creator>
  <cp:lastModifiedBy>MOISES ALONSO SALINAS CASTRO</cp:lastModifiedBy>
  <dcterms:created xsi:type="dcterms:W3CDTF">2014-04-13T22:02:47Z</dcterms:created>
  <dcterms:modified xsi:type="dcterms:W3CDTF">2026-05-25T03:49:32Z</dcterms:modified>
</cp:coreProperties>
</file>